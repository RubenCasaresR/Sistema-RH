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📊 Tablero Anual" sheetId="1" r:id="rId4"/>
    <sheet state="visible" name="📈 Indicadores Mensuales" sheetId="2" r:id="rId5"/>
    <sheet state="visible" name="📋 Bitácora Incidencias" sheetId="3" r:id="rId6"/>
    <sheet state="visible" name="✅ Checklist Mensual" sheetId="4" r:id="rId7"/>
  </sheets>
  <definedNames/>
  <calcPr/>
  <extLst>
    <ext uri="GoogleSheetsCustomDataVersion2">
      <go:sheetsCustomData xmlns:go="http://customooxmlschemas.google.com/" r:id="rId8" roundtripDataChecksum="+QToXv0gFe07PQoIulniHJyHB5/Bj4Ibd0TYrTZDHIY="/>
    </ext>
  </extLst>
</workbook>
</file>

<file path=xl/sharedStrings.xml><?xml version="1.0" encoding="utf-8"?>
<sst xmlns="http://schemas.openxmlformats.org/spreadsheetml/2006/main" count="453" uniqueCount="132">
  <si>
    <t>TABLERO DE CONTROL — RECURSOS HUMANOS 2026</t>
  </si>
  <si>
    <t>TAREA</t>
  </si>
  <si>
    <t>FRECUENCIA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</si>
  <si>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</si>
  <si>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</si>
  <si>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</si>
  <si>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</si>
  <si>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</si>
  <si>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</si>
  <si>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</si>
  <si>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</si>
  <si>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</si>
  <si>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</si>
  <si>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</si>
  <si>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</si>
  <si>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📅  RUTINA SEMANAL</t>
  </si>
  <si>
    <t>Revisión de indicadores (faltas, retardos, incidencias)</t>
  </si>
  <si>
    <t>Semanal</t>
  </si>
  <si>
    <t>N/A</t>
  </si>
  <si>
    <t>✅</t>
  </si>
  <si>
    <t>Observación del ambiente y clima</t>
  </si>
  <si>
    <t>Cierre de semana y actualización de bitácora</t>
  </si>
  <si>
    <t>📆  RUTINA MENSUAL</t>
  </si>
  <si>
    <t>Consolidado de indicadores del mes anterior</t>
  </si>
  <si>
    <t>Mensual</t>
  </si>
  <si>
    <t>Reporte de indicadores a supervisor / dirección</t>
  </si>
  <si>
    <t>Revisión del buzón de sugerencias</t>
  </si>
  <si>
    <t>Seguimiento de acuerdos y compromisos previos</t>
  </si>
  <si>
    <t>Auditoría de expedientes del personal</t>
  </si>
  <si>
    <t>Reconocimiento del mes (cumpleaños, logros)</t>
  </si>
  <si>
    <t>Revisión de actualizaciones al manual de procesos</t>
  </si>
  <si>
    <t>⏳</t>
  </si>
  <si>
    <t>🗓️  RUTINA BIMESTRAL</t>
  </si>
  <si>
    <t xml:space="preserve">Entrevistas individuales de seguimiento </t>
  </si>
  <si>
    <t>Bimestral</t>
  </si>
  <si>
    <t>Revisión de diagnóstico de necesidades por área</t>
  </si>
  <si>
    <t>📊  RUTINA SEMESTRAL</t>
  </si>
  <si>
    <t>Encuesta de clima laboral (Litwin y Stringer)</t>
  </si>
  <si>
    <t>Semestral</t>
  </si>
  <si>
    <t>Análisis de resultados y propuesta de mejoras</t>
  </si>
  <si>
    <t>Revisión general del manual de procesos</t>
  </si>
  <si>
    <t>Evaluación del estado de expedientes completos</t>
  </si>
  <si>
    <t>⚡  TAREAS PERMANENTES (según ocurran)</t>
  </si>
  <si>
    <t>Registro de incidencias y conflictos</t>
  </si>
  <si>
    <t>Permanente</t>
  </si>
  <si>
    <t>Integración de expedientes (altas)</t>
  </si>
  <si>
    <t>Cierre de expedientes (bajas)</t>
  </si>
  <si>
    <t>Atención a conflictos interpersonales</t>
  </si>
  <si>
    <t>Comunicados internos al personal</t>
  </si>
  <si>
    <t>Apoyo en procesos de reclutamiento activos</t>
  </si>
  <si>
    <t>LEYENDA DE ESTATUS</t>
  </si>
  <si>
    <t>Completado</t>
  </si>
  <si>
    <t>En proceso / Pendiente</t>
  </si>
  <si>
    <t>❌</t>
  </si>
  <si>
    <t>No realizado</t>
  </si>
  <si>
    <t>No aplica este mes</t>
  </si>
  <si>
    <t>SEGUIMIENTO DE INDICADORES MENSUALES DE RH</t>
  </si>
  <si>
    <t>INDICADOR</t>
  </si>
  <si>
    <t>TOTAL / PROM</t>
  </si>
  <si>
    <t>ASISTENCIA</t>
  </si>
  <si>
    <t>Total de retardos en el mes</t>
  </si>
  <si>
    <t>Total de faltas injustificadas</t>
  </si>
  <si>
    <t>Total de faltas justificadas</t>
  </si>
  <si>
    <t>Días de incapacidad (IMSS)</t>
  </si>
  <si>
    <t>Permisos otorgados</t>
  </si>
  <si>
    <t>PERSONAL</t>
  </si>
  <si>
    <t>Número de colaboradores activos</t>
  </si>
  <si>
    <t>Altas del mes</t>
  </si>
  <si>
    <t>Bajas del mes</t>
  </si>
  <si>
    <t>Rotación del mes (%)</t>
  </si>
  <si>
    <t>CLIMA Y CONFLICTOS</t>
  </si>
  <si>
    <t>Incidencias o conflictos registrados</t>
  </si>
  <si>
    <t>Conflictos resueltos</t>
  </si>
  <si>
    <t>Conflictos en seguimiento</t>
  </si>
  <si>
    <t>Sugerencias recibidas (buzón)</t>
  </si>
  <si>
    <t>EXPEDIENTES</t>
  </si>
  <si>
    <t>Expedientes completos</t>
  </si>
  <si>
    <t>Expedientes con documentos pendientes</t>
  </si>
  <si>
    <t>Documentos vencidos detectados</t>
  </si>
  <si>
    <t>RECLUTAMIENTO (si aplica)</t>
  </si>
  <si>
    <t>Vacantes activas</t>
  </si>
  <si>
    <t>Candidatos entrevistados</t>
  </si>
  <si>
    <t>Contrataciones realizadas</t>
  </si>
  <si>
    <t>💡 Ingresa los datos reales cada mes. La columna TOTAL/PROM se calcula automáticamente.</t>
  </si>
  <si>
    <t>BITÁCORA DE INCIDENCIAS Y CONFLICTOS LABORALES</t>
  </si>
  <si>
    <t>Uso interno y confidencial — Área de Recursos Humanos</t>
  </si>
  <si>
    <t>Folio</t>
  </si>
  <si>
    <t>Fecha</t>
  </si>
  <si>
    <t>Persona(s) involucrada(s)</t>
  </si>
  <si>
    <t>Área</t>
  </si>
  <si>
    <t>Tipo de incidencia</t>
  </si>
  <si>
    <t>Descripción del hecho</t>
  </si>
  <si>
    <t>¿Cómo se atendió?</t>
  </si>
  <si>
    <t>Resultado</t>
  </si>
  <si>
    <t>Fecha seguimiento</t>
  </si>
  <si>
    <t>Registrado por</t>
  </si>
  <si>
    <t xml:space="preserve">BRENDA LUJAN; MICHELLE YANOME </t>
  </si>
  <si>
    <t xml:space="preserve">TESORERIA </t>
  </si>
  <si>
    <t>Queja</t>
  </si>
  <si>
    <t xml:space="preserve">Ambas reportar en la evaluacion de clima laboral la presencia de tratos poco amigables y pasivo - agresivos, por parte de un miembro de otra area. se cree que el motivo es debido a su reciente ingreso, pero no esta claro. </t>
  </si>
  <si>
    <t xml:space="preserve">Al tomar conocimiento de la situacion, se le pregunto a las partes afectadas sobre la persistencia de los hechos descritos, refiriendo el cese de los mismos desde dias atras. </t>
  </si>
  <si>
    <t>En seguimiento</t>
  </si>
  <si>
    <t>JOHAN DELGADILLO</t>
  </si>
  <si>
    <t>CHECKLIST MENSUAL DE RECURSOS HUMANOS</t>
  </si>
  <si>
    <t>Mes y año:</t>
  </si>
  <si>
    <t>Semana / Freq.</t>
  </si>
  <si>
    <t>Tarea</t>
  </si>
  <si>
    <t>Estatus</t>
  </si>
  <si>
    <t>Fecha completado</t>
  </si>
  <si>
    <t>Notas / Observaciones</t>
  </si>
  <si>
    <t>SEMANAL</t>
  </si>
  <si>
    <t>Sem. 1</t>
  </si>
  <si>
    <t>✅ Completado</t>
  </si>
  <si>
    <t>Observación del ambiente y clima del despacho</t>
  </si>
  <si>
    <t>Sem. 2</t>
  </si>
  <si>
    <t>Sem. 3</t>
  </si>
  <si>
    <t>Sem. 4</t>
  </si>
  <si>
    <t>MENSUAL</t>
  </si>
  <si>
    <t>⏳ En proceso</t>
  </si>
  <si>
    <t>Revisión del buzón de sugerencias anónimo</t>
  </si>
  <si>
    <t xml:space="preserve">Comentarios sobre la falta de horario de comida para los becarios </t>
  </si>
  <si>
    <t>Acción de reconocimiento del mes</t>
  </si>
  <si>
    <t>Revisión de actualizaciones necesarias al manual</t>
  </si>
  <si>
    <t>BIMESTRAL / SEMESTRAL</t>
  </si>
  <si>
    <t>Diagnóstico de necesidades por área</t>
  </si>
  <si>
    <t>Encuesta de clima laboral</t>
  </si>
  <si>
    <t>PERMANENTE</t>
  </si>
  <si>
    <t>Registro de incidencias y conflictos (cuando ocurren)</t>
  </si>
  <si>
    <t>Integración de expedientes de nuevas altas</t>
  </si>
  <si>
    <t>Cierre de expedientes de bajas</t>
  </si>
  <si>
    <t>Comunicados internos según necesidad</t>
  </si>
  <si>
    <t>💡 En la columna "Estatus" selecciona del menú desplegable: ✅ Completado / ⏳ En proceso / ❌ No realizado / 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</si>
</sst>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mmmm yyyy"/>
  </numFmts>
  <fonts count="19">
    <font>
      <sz val="11.0"/>
      <color rgb="FF000000"/>
      <name val="Arial"/>
      <scheme val="minor"/>
    </font>
    <font>
      <b/>
      <sz val="16.0"/>
      <color rgb="FFFFFFFF"/>
      <name val="Arial"/>
    </font>
    <font/>
    <font>
      <b/>
      <sz val="10.0"/>
      <color rgb="FFFFFFFF"/>
      <name val="Arial"/>
    </font>
    <font>
      <b/>
      <sz val="11.0"/>
      <color rgb="FFFFFFFF"/>
      <name val="Arial"/>
    </font>
    <font>
      <sz val="10.0"/>
      <color rgb="FF000000"/>
      <name val="Arial"/>
    </font>
    <font>
      <i/>
      <sz val="9.0"/>
      <color rgb="FF595959"/>
      <name val="Arial"/>
    </font>
    <font>
      <b/>
      <sz val="11.0"/>
      <color rgb="FF000000"/>
      <name val="Arial"/>
    </font>
    <font>
      <sz val="11.0"/>
      <color theme="1"/>
      <name val="Calibri"/>
    </font>
    <font>
      <b/>
      <sz val="15.0"/>
      <color rgb="FFFFFFFF"/>
      <name val="Arial"/>
    </font>
    <font>
      <sz val="10.0"/>
      <color theme="1"/>
      <name val="Arial"/>
    </font>
    <font>
      <b/>
      <sz val="10.0"/>
      <color rgb="FF1F4E79"/>
      <name val="Arial"/>
    </font>
    <font>
      <b/>
      <sz val="14.0"/>
      <color rgb="FFFFFFFF"/>
      <name val="Arial"/>
    </font>
    <font>
      <b/>
      <sz val="9.0"/>
      <color rgb="FFFFFFFF"/>
      <name val="Arial"/>
    </font>
    <font>
      <b/>
      <sz val="10.0"/>
      <color rgb="FF2E75B6"/>
      <name val="Arial"/>
    </font>
    <font>
      <sz val="9.0"/>
      <color rgb="FF000000"/>
      <name val="Arial"/>
    </font>
    <font>
      <b/>
      <sz val="11.0"/>
      <color rgb="FF2E75B6"/>
      <name val="Arial"/>
    </font>
    <font>
      <sz val="10.0"/>
      <color rgb="FF70AD47"/>
      <name val="Arial"/>
    </font>
    <font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BDD7EE"/>
        <bgColor rgb="FFBDD7EE"/>
      </patternFill>
    </fill>
    <fill>
      <patternFill patternType="solid">
        <fgColor rgb="FFFFF2CC"/>
        <bgColor rgb="FFFFF2CC"/>
      </patternFill>
    </fill>
    <fill>
      <patternFill patternType="solid">
        <fgColor rgb="FF595959"/>
        <bgColor rgb="FF595959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FCE4D6"/>
        <bgColor rgb="FFFCE4D6"/>
      </patternFill>
    </fill>
  </fills>
  <borders count="22">
    <border/>
    <border>
      <left style="medium">
        <color rgb="FF2E75B6"/>
      </left>
      <top style="medium">
        <color rgb="FF2E75B6"/>
      </top>
      <bottom style="medium">
        <color rgb="FF2E75B6"/>
      </bottom>
    </border>
    <border>
      <top style="medium">
        <color rgb="FF2E75B6"/>
      </top>
      <bottom style="medium">
        <color rgb="FF2E75B6"/>
      </bottom>
    </border>
    <border>
      <right style="medium">
        <color rgb="FF2E75B6"/>
      </right>
      <top style="medium">
        <color rgb="FF2E75B6"/>
      </top>
      <bottom style="medium">
        <color rgb="FF2E75B6"/>
      </bottom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</border>
    <border>
      <left style="medium">
        <color rgb="FF1F4E79"/>
      </left>
      <top style="medium">
        <color rgb="FF1F4E79"/>
      </top>
      <bottom style="medium">
        <color rgb="FF1F4E79"/>
      </bottom>
    </border>
    <border>
      <top style="medium">
        <color rgb="FF1F4E79"/>
      </top>
      <bottom style="medium">
        <color rgb="FF1F4E79"/>
      </bottom>
    </border>
    <border>
      <right style="medium">
        <color rgb="FF1F4E79"/>
      </right>
      <top style="medium">
        <color rgb="FF1F4E79"/>
      </top>
      <bottom style="medium">
        <color rgb="FF1F4E79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595959"/>
      </left>
      <top style="medium">
        <color rgb="FF595959"/>
      </top>
      <bottom style="medium">
        <color rgb="FF595959"/>
      </bottom>
    </border>
    <border>
      <top style="medium">
        <color rgb="FF595959"/>
      </top>
      <bottom style="medium">
        <color rgb="FF595959"/>
      </bottom>
    </border>
    <border>
      <right style="medium">
        <color rgb="FF595959"/>
      </right>
      <top style="medium">
        <color rgb="FF595959"/>
      </top>
      <bottom style="medium">
        <color rgb="FF595959"/>
      </bottom>
    </border>
    <border>
      <left style="medium">
        <color rgb="FF70AD47"/>
      </left>
      <top style="medium">
        <color rgb="FF70AD47"/>
      </top>
      <bottom style="medium">
        <color rgb="FF70AD47"/>
      </bottom>
    </border>
    <border>
      <top style="medium">
        <color rgb="FF70AD47"/>
      </top>
      <bottom style="medium">
        <color rgb="FF70AD47"/>
      </bottom>
    </border>
    <border>
      <right style="medium">
        <color rgb="FF70AD47"/>
      </right>
      <top style="medium">
        <color rgb="FF70AD47"/>
      </top>
      <bottom style="medium">
        <color rgb="FF70AD47"/>
      </bottom>
    </border>
    <border>
      <left style="medium">
        <color rgb="FFED7D31"/>
      </left>
      <top style="medium">
        <color rgb="FFED7D31"/>
      </top>
      <bottom style="medium">
        <color rgb="FFED7D31"/>
      </bottom>
    </border>
    <border>
      <top style="medium">
        <color rgb="FFED7D31"/>
      </top>
      <bottom style="medium">
        <color rgb="FFED7D31"/>
      </bottom>
    </border>
    <border>
      <right style="medium">
        <color rgb="FFED7D31"/>
      </right>
      <top style="medium">
        <color rgb="FFED7D31"/>
      </top>
      <bottom style="medium">
        <color rgb="FFED7D31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0"/>
    </xf>
    <xf borderId="5" fillId="2" fontId="4" numFmtId="0" xfId="0" applyAlignment="1" applyBorder="1" applyFont="1">
      <alignment horizontal="left" shrinkToFit="0" vertical="center" wrapText="0"/>
    </xf>
    <xf borderId="6" fillId="0" fontId="2" numFmtId="0" xfId="0" applyBorder="1" applyFont="1"/>
    <xf borderId="7" fillId="0" fontId="2" numFmtId="0" xfId="0" applyBorder="1" applyFont="1"/>
    <xf borderId="8" fillId="4" fontId="5" numFmtId="0" xfId="0" applyAlignment="1" applyBorder="1" applyFill="1" applyFont="1">
      <alignment horizontal="left" shrinkToFit="0" vertical="center" wrapText="1"/>
    </xf>
    <xf borderId="8" fillId="4" fontId="6" numFmtId="0" xfId="0" applyAlignment="1" applyBorder="1" applyFont="1">
      <alignment horizontal="center" shrinkToFit="0" vertical="center" wrapText="0"/>
    </xf>
    <xf borderId="8" fillId="5" fontId="7" numFmtId="0" xfId="0" applyAlignment="1" applyBorder="1" applyFill="1" applyFont="1">
      <alignment horizontal="center" shrinkToFit="0" vertical="center" wrapText="0"/>
    </xf>
    <xf borderId="8" fillId="6" fontId="7" numFmtId="0" xfId="0" applyAlignment="1" applyBorder="1" applyFill="1" applyFont="1">
      <alignment horizontal="center" shrinkToFit="0" vertical="center" wrapText="0"/>
    </xf>
    <xf borderId="8" fillId="7" fontId="8" numFmtId="0" xfId="0" applyAlignment="1" applyBorder="1" applyFill="1" applyFont="1">
      <alignment horizontal="center" shrinkToFit="0" vertical="center" wrapText="0"/>
    </xf>
    <xf borderId="1" fillId="3" fontId="4" numFmtId="0" xfId="0" applyAlignment="1" applyBorder="1" applyFont="1">
      <alignment horizontal="left" shrinkToFit="0" vertical="center" wrapText="0"/>
    </xf>
    <xf borderId="8" fillId="8" fontId="5" numFmtId="0" xfId="0" applyAlignment="1" applyBorder="1" applyFill="1" applyFont="1">
      <alignment horizontal="left" shrinkToFit="0" vertical="center" wrapText="1"/>
    </xf>
    <xf borderId="8" fillId="8" fontId="6" numFmtId="0" xfId="0" applyAlignment="1" applyBorder="1" applyFont="1">
      <alignment horizontal="center" shrinkToFit="0" vertical="center" wrapText="0"/>
    </xf>
    <xf borderId="8" fillId="9" fontId="7" numFmtId="0" xfId="0" applyAlignment="1" applyBorder="1" applyFill="1" applyFont="1">
      <alignment horizontal="center" shrinkToFit="0" vertical="center" wrapText="0"/>
    </xf>
    <xf borderId="9" fillId="10" fontId="4" numFmtId="0" xfId="0" applyAlignment="1" applyBorder="1" applyFill="1" applyFont="1">
      <alignment horizontal="left" shrinkToFit="0" vertical="center" wrapText="0"/>
    </xf>
    <xf borderId="10" fillId="0" fontId="2" numFmtId="0" xfId="0" applyBorder="1" applyFont="1"/>
    <xf borderId="11" fillId="0" fontId="2" numFmtId="0" xfId="0" applyBorder="1" applyFont="1"/>
    <xf borderId="8" fillId="5" fontId="5" numFmtId="0" xfId="0" applyAlignment="1" applyBorder="1" applyFont="1">
      <alignment horizontal="left" readingOrder="0" shrinkToFit="0" vertical="center" wrapText="1"/>
    </xf>
    <xf borderId="8" fillId="5" fontId="6" numFmtId="0" xfId="0" applyAlignment="1" applyBorder="1" applyFont="1">
      <alignment horizontal="center" shrinkToFit="0" vertical="center" wrapText="0"/>
    </xf>
    <xf borderId="8" fillId="5" fontId="5" numFmtId="0" xfId="0" applyAlignment="1" applyBorder="1" applyFont="1">
      <alignment horizontal="left" shrinkToFit="0" vertical="center" wrapText="1"/>
    </xf>
    <xf borderId="12" fillId="11" fontId="4" numFmtId="0" xfId="0" applyAlignment="1" applyBorder="1" applyFill="1" applyFont="1">
      <alignment horizontal="left" shrinkToFit="0" vertical="center" wrapText="0"/>
    </xf>
    <xf borderId="13" fillId="0" fontId="2" numFmtId="0" xfId="0" applyBorder="1" applyFont="1"/>
    <xf borderId="14" fillId="0" fontId="2" numFmtId="0" xfId="0" applyBorder="1" applyFont="1"/>
    <xf borderId="8" fillId="6" fontId="5" numFmtId="0" xfId="0" applyAlignment="1" applyBorder="1" applyFont="1">
      <alignment horizontal="left" shrinkToFit="0" vertical="center" wrapText="1"/>
    </xf>
    <xf borderId="8" fillId="6" fontId="6" numFmtId="0" xfId="0" applyAlignment="1" applyBorder="1" applyFont="1">
      <alignment horizontal="center" shrinkToFit="0" vertical="center" wrapText="0"/>
    </xf>
    <xf borderId="15" fillId="12" fontId="4" numFmtId="0" xfId="0" applyAlignment="1" applyBorder="1" applyFill="1" applyFont="1">
      <alignment horizontal="left" shrinkToFit="0" vertical="center" wrapText="0"/>
    </xf>
    <xf borderId="16" fillId="0" fontId="2" numFmtId="0" xfId="0" applyBorder="1" applyFont="1"/>
    <xf borderId="17" fillId="0" fontId="2" numFmtId="0" xfId="0" applyBorder="1" applyFont="1"/>
    <xf borderId="8" fillId="9" fontId="5" numFmtId="0" xfId="0" applyAlignment="1" applyBorder="1" applyFont="1">
      <alignment horizontal="left" shrinkToFit="0" vertical="center" wrapText="1"/>
    </xf>
    <xf borderId="8" fillId="9" fontId="6" numFmtId="0" xfId="0" applyAlignment="1" applyBorder="1" applyFont="1">
      <alignment horizontal="center" shrinkToFit="0" vertical="center" wrapText="0"/>
    </xf>
    <xf borderId="1" fillId="2" fontId="3" numFmtId="0" xfId="0" applyAlignment="1" applyBorder="1" applyFont="1">
      <alignment horizontal="center" shrinkToFit="0" vertical="center" wrapText="0"/>
    </xf>
    <xf borderId="18" fillId="7" fontId="5" numFmtId="0" xfId="0" applyAlignment="1" applyBorder="1" applyFont="1">
      <alignment horizontal="left" shrinkToFit="0" vertical="center" wrapText="0"/>
    </xf>
    <xf borderId="19" fillId="0" fontId="2" numFmtId="0" xfId="0" applyBorder="1" applyFont="1"/>
    <xf borderId="20" fillId="0" fontId="2" numFmtId="0" xfId="0" applyBorder="1" applyFont="1"/>
    <xf borderId="8" fillId="13" fontId="7" numFmtId="0" xfId="0" applyAlignment="1" applyBorder="1" applyFill="1" applyFont="1">
      <alignment horizontal="center" shrinkToFit="0" vertical="center" wrapText="0"/>
    </xf>
    <xf borderId="1" fillId="2" fontId="9" numFmtId="0" xfId="0" applyAlignment="1" applyBorder="1" applyFont="1">
      <alignment horizontal="center" shrinkToFit="0" vertical="center" wrapText="0"/>
    </xf>
    <xf borderId="8" fillId="4" fontId="5" numFmtId="0" xfId="0" applyAlignment="1" applyBorder="1" applyFont="1">
      <alignment horizontal="left" shrinkToFit="0" vertical="center" wrapText="0"/>
    </xf>
    <xf borderId="8" fillId="7" fontId="5" numFmtId="0" xfId="0" applyAlignment="1" applyBorder="1" applyFont="1">
      <alignment horizontal="center" readingOrder="0" shrinkToFit="0" vertical="center" wrapText="0"/>
    </xf>
    <xf borderId="8" fillId="7" fontId="10" numFmtId="0" xfId="0" applyAlignment="1" applyBorder="1" applyFont="1">
      <alignment horizontal="center"/>
    </xf>
    <xf borderId="8" fillId="7" fontId="5" numFmtId="0" xfId="0" applyAlignment="1" applyBorder="1" applyFont="1">
      <alignment horizontal="center" shrinkToFit="0" vertical="center" wrapText="0"/>
    </xf>
    <xf borderId="4" fillId="4" fontId="11" numFmtId="0" xfId="0" applyAlignment="1" applyBorder="1" applyFont="1">
      <alignment horizontal="center" shrinkToFit="0" vertical="center" wrapText="0"/>
    </xf>
    <xf borderId="8" fillId="7" fontId="10" numFmtId="0" xfId="0" applyAlignment="1" applyBorder="1" applyFont="1">
      <alignment horizontal="center"/>
    </xf>
    <xf borderId="8" fillId="8" fontId="5" numFmtId="0" xfId="0" applyAlignment="1" applyBorder="1" applyFont="1">
      <alignment horizontal="left" shrinkToFit="0" vertical="center" wrapText="0"/>
    </xf>
    <xf borderId="8" fillId="7" fontId="5" numFmtId="9" xfId="0" applyAlignment="1" applyBorder="1" applyFont="1" applyNumberFormat="1">
      <alignment horizontal="center" readingOrder="0" shrinkToFit="0" vertical="center" wrapText="0"/>
    </xf>
    <xf borderId="8" fillId="5" fontId="5" numFmtId="0" xfId="0" applyAlignment="1" applyBorder="1" applyFont="1">
      <alignment horizontal="left" shrinkToFit="0" vertical="center" wrapText="0"/>
    </xf>
    <xf borderId="8" fillId="6" fontId="5" numFmtId="0" xfId="0" applyAlignment="1" applyBorder="1" applyFont="1">
      <alignment horizontal="left" shrinkToFit="0" vertical="center" wrapText="0"/>
    </xf>
    <xf borderId="8" fillId="9" fontId="5" numFmtId="0" xfId="0" applyAlignment="1" applyBorder="1" applyFont="1">
      <alignment horizontal="left" shrinkToFit="0" vertical="center" wrapText="0"/>
    </xf>
    <xf borderId="0" fillId="0" fontId="6" numFmtId="0" xfId="0" applyAlignment="1" applyFont="1">
      <alignment horizontal="left" shrinkToFit="0" vertical="center" wrapText="0"/>
    </xf>
    <xf borderId="1" fillId="2" fontId="12" numFmtId="0" xfId="0" applyAlignment="1" applyBorder="1" applyFont="1">
      <alignment horizontal="center" shrinkToFit="0" vertical="center" wrapText="0"/>
    </xf>
    <xf borderId="1" fillId="3" fontId="13" numFmtId="0" xfId="0" applyAlignment="1" applyBorder="1" applyFont="1">
      <alignment horizontal="center" shrinkToFit="0" vertical="center" wrapText="0"/>
    </xf>
    <xf borderId="4" fillId="3" fontId="13" numFmtId="0" xfId="0" applyAlignment="1" applyBorder="1" applyFont="1">
      <alignment horizontal="center" shrinkToFit="0" vertical="center" wrapText="0"/>
    </xf>
    <xf borderId="8" fillId="4" fontId="14" numFmtId="0" xfId="0" applyAlignment="1" applyBorder="1" applyFont="1">
      <alignment horizontal="center" shrinkToFit="0" vertical="center" wrapText="0"/>
    </xf>
    <xf borderId="8" fillId="5" fontId="15" numFmtId="164" xfId="0" applyAlignment="1" applyBorder="1" applyFont="1" applyNumberFormat="1">
      <alignment horizontal="left" readingOrder="0" shrinkToFit="0" vertical="center" wrapText="1"/>
    </xf>
    <xf borderId="8" fillId="5" fontId="15" numFmtId="0" xfId="0" applyAlignment="1" applyBorder="1" applyFont="1">
      <alignment horizontal="left" readingOrder="0" shrinkToFit="0" vertical="center" wrapText="1"/>
    </xf>
    <xf borderId="8" fillId="7" fontId="15" numFmtId="0" xfId="0" applyAlignment="1" applyBorder="1" applyFont="1">
      <alignment horizontal="left" shrinkToFit="0" vertical="center" wrapText="1"/>
    </xf>
    <xf borderId="8" fillId="5" fontId="15" numFmtId="0" xfId="0" applyAlignment="1" applyBorder="1" applyFont="1">
      <alignment horizontal="left" shrinkToFit="0" vertical="center" wrapText="1"/>
    </xf>
    <xf borderId="0" fillId="0" fontId="11" numFmtId="0" xfId="0" applyAlignment="1" applyFont="1">
      <alignment horizontal="left" shrinkToFit="0" vertical="center" wrapText="0"/>
    </xf>
    <xf borderId="21" fillId="4" fontId="16" numFmtId="165" xfId="0" applyAlignment="1" applyBorder="1" applyFont="1" applyNumberFormat="1">
      <alignment horizontal="left" readingOrder="0" shrinkToFit="0" vertical="center" wrapText="0"/>
    </xf>
    <xf borderId="21" fillId="7" fontId="17" numFmtId="0" xfId="0" applyAlignment="1" applyBorder="1" applyFont="1">
      <alignment horizontal="center" readingOrder="0" shrinkToFit="0" vertical="center" wrapText="0"/>
    </xf>
    <xf borderId="8" fillId="7" fontId="15" numFmtId="164" xfId="0" applyAlignment="1" applyBorder="1" applyFont="1" applyNumberFormat="1">
      <alignment horizontal="center" readingOrder="0" shrinkToFit="0" vertical="center" wrapText="0"/>
    </xf>
    <xf borderId="0" fillId="0" fontId="18" numFmtId="0" xfId="0" applyFont="1"/>
    <xf borderId="8" fillId="7" fontId="15" numFmtId="0" xfId="0" applyAlignment="1" applyBorder="1" applyFont="1">
      <alignment horizontal="center" shrinkToFit="0" vertical="center" wrapText="0"/>
    </xf>
    <xf borderId="8" fillId="7" fontId="15" numFmtId="0" xfId="0" applyAlignment="1" applyBorder="1" applyFont="1">
      <alignment horizontal="left" readingOrder="0" shrinkToFit="0" vertical="center" wrapText="1"/>
    </xf>
    <xf borderId="8" fillId="6" fontId="5" numFmtId="0" xfId="0" applyAlignment="1" applyBorder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4.0"/>
    <col customWidth="1" min="2" max="2" width="38.0"/>
    <col customWidth="1" min="3" max="3" width="13.0"/>
    <col customWidth="1" min="4" max="15" width="9.0"/>
    <col customWidth="1" min="16" max="26" width="14.38"/>
  </cols>
  <sheetData>
    <row r="1" ht="13.5" customHeight="1"/>
    <row r="2" ht="30.0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</row>
    <row r="3" ht="13.5" customHeight="1"/>
    <row r="4" ht="21.75" customHeight="1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</row>
    <row r="5" ht="19.5" customHeight="1">
      <c r="B5" s="5" t="s">
        <v>15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7"/>
    </row>
    <row r="6" ht="18.0" customHeight="1">
      <c r="B6" s="8" t="s">
        <v>16</v>
      </c>
      <c r="C6" s="9" t="s">
        <v>17</v>
      </c>
      <c r="D6" s="10" t="s">
        <v>18</v>
      </c>
      <c r="E6" s="10" t="s">
        <v>18</v>
      </c>
      <c r="F6" s="10" t="s">
        <v>18</v>
      </c>
      <c r="G6" s="10" t="s">
        <v>18</v>
      </c>
      <c r="H6" s="11" t="s">
        <v>19</v>
      </c>
      <c r="I6" s="11" t="s">
        <v>19</v>
      </c>
      <c r="J6" s="12"/>
      <c r="K6" s="12"/>
      <c r="L6" s="12"/>
      <c r="M6" s="12"/>
      <c r="N6" s="12"/>
      <c r="O6" s="12"/>
    </row>
    <row r="7" ht="18.0" customHeight="1">
      <c r="B7" s="8" t="s">
        <v>20</v>
      </c>
      <c r="C7" s="9" t="s">
        <v>17</v>
      </c>
      <c r="D7" s="10" t="s">
        <v>18</v>
      </c>
      <c r="E7" s="10" t="s">
        <v>18</v>
      </c>
      <c r="F7" s="10" t="s">
        <v>18</v>
      </c>
      <c r="G7" s="10" t="s">
        <v>18</v>
      </c>
      <c r="H7" s="11" t="s">
        <v>19</v>
      </c>
      <c r="I7" s="11" t="s">
        <v>19</v>
      </c>
      <c r="J7" s="12"/>
      <c r="K7" s="12"/>
      <c r="L7" s="12"/>
      <c r="M7" s="12"/>
      <c r="N7" s="12"/>
      <c r="O7" s="12"/>
    </row>
    <row r="8" ht="18.0" customHeight="1">
      <c r="B8" s="8" t="s">
        <v>21</v>
      </c>
      <c r="C8" s="9" t="s">
        <v>17</v>
      </c>
      <c r="D8" s="10" t="s">
        <v>18</v>
      </c>
      <c r="E8" s="10" t="s">
        <v>18</v>
      </c>
      <c r="F8" s="10" t="s">
        <v>18</v>
      </c>
      <c r="G8" s="10" t="s">
        <v>18</v>
      </c>
      <c r="H8" s="11" t="s">
        <v>19</v>
      </c>
      <c r="I8" s="11" t="s">
        <v>19</v>
      </c>
      <c r="J8" s="12"/>
      <c r="K8" s="12"/>
      <c r="L8" s="12"/>
      <c r="M8" s="12"/>
      <c r="N8" s="12"/>
      <c r="O8" s="12"/>
    </row>
    <row r="10" ht="19.5" customHeight="1">
      <c r="B10" s="13" t="s">
        <v>22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3"/>
    </row>
    <row r="11" ht="18.0" customHeight="1">
      <c r="B11" s="14" t="s">
        <v>23</v>
      </c>
      <c r="C11" s="15" t="s">
        <v>24</v>
      </c>
      <c r="D11" s="10" t="s">
        <v>18</v>
      </c>
      <c r="E11" s="10" t="s">
        <v>18</v>
      </c>
      <c r="F11" s="10" t="s">
        <v>18</v>
      </c>
      <c r="G11" s="10" t="s">
        <v>18</v>
      </c>
      <c r="H11" s="10" t="s">
        <v>18</v>
      </c>
      <c r="I11" s="10" t="s">
        <v>18</v>
      </c>
      <c r="J11" s="12"/>
      <c r="K11" s="12"/>
      <c r="L11" s="12"/>
      <c r="M11" s="12"/>
      <c r="N11" s="12"/>
      <c r="O11" s="12"/>
    </row>
    <row r="12" ht="18.0" customHeight="1">
      <c r="B12" s="14" t="s">
        <v>25</v>
      </c>
      <c r="C12" s="15" t="s">
        <v>24</v>
      </c>
      <c r="D12" s="10" t="s">
        <v>18</v>
      </c>
      <c r="E12" s="10" t="s">
        <v>18</v>
      </c>
      <c r="F12" s="10" t="s">
        <v>18</v>
      </c>
      <c r="G12" s="10" t="s">
        <v>18</v>
      </c>
      <c r="H12" s="10" t="s">
        <v>18</v>
      </c>
      <c r="I12" s="11" t="s">
        <v>19</v>
      </c>
      <c r="J12" s="12"/>
      <c r="K12" s="12"/>
      <c r="L12" s="12"/>
      <c r="M12" s="12"/>
      <c r="N12" s="12"/>
      <c r="O12" s="12"/>
    </row>
    <row r="13" ht="18.0" customHeight="1">
      <c r="B13" s="14" t="s">
        <v>26</v>
      </c>
      <c r="C13" s="15" t="s">
        <v>24</v>
      </c>
      <c r="D13" s="10" t="s">
        <v>18</v>
      </c>
      <c r="E13" s="10" t="s">
        <v>18</v>
      </c>
      <c r="F13" s="10" t="s">
        <v>18</v>
      </c>
      <c r="G13" s="10" t="s">
        <v>18</v>
      </c>
      <c r="H13" s="10" t="s">
        <v>18</v>
      </c>
      <c r="I13" s="11" t="s">
        <v>19</v>
      </c>
      <c r="J13" s="12"/>
      <c r="K13" s="12"/>
      <c r="L13" s="12"/>
      <c r="M13" s="12"/>
      <c r="N13" s="12"/>
      <c r="O13" s="12"/>
    </row>
    <row r="14" ht="18.0" customHeight="1">
      <c r="B14" s="14" t="s">
        <v>27</v>
      </c>
      <c r="C14" s="15" t="s">
        <v>24</v>
      </c>
      <c r="D14" s="10" t="s">
        <v>18</v>
      </c>
      <c r="E14" s="10" t="s">
        <v>18</v>
      </c>
      <c r="F14" s="10" t="s">
        <v>18</v>
      </c>
      <c r="G14" s="10" t="s">
        <v>18</v>
      </c>
      <c r="H14" s="11" t="s">
        <v>19</v>
      </c>
      <c r="I14" s="11" t="s">
        <v>19</v>
      </c>
      <c r="J14" s="12"/>
      <c r="K14" s="12"/>
      <c r="L14" s="12"/>
      <c r="M14" s="12"/>
      <c r="N14" s="12"/>
      <c r="O14" s="12"/>
    </row>
    <row r="15" ht="18.0" customHeight="1">
      <c r="B15" s="14" t="s">
        <v>28</v>
      </c>
      <c r="C15" s="15" t="s">
        <v>24</v>
      </c>
      <c r="D15" s="10" t="s">
        <v>18</v>
      </c>
      <c r="E15" s="10" t="s">
        <v>18</v>
      </c>
      <c r="F15" s="10" t="s">
        <v>18</v>
      </c>
      <c r="G15" s="10" t="s">
        <v>18</v>
      </c>
      <c r="H15" s="11" t="s">
        <v>19</v>
      </c>
      <c r="I15" s="11" t="s">
        <v>19</v>
      </c>
      <c r="J15" s="12"/>
      <c r="K15" s="12"/>
      <c r="L15" s="12"/>
      <c r="M15" s="12"/>
      <c r="N15" s="12"/>
      <c r="O15" s="12"/>
    </row>
    <row r="16" ht="18.0" customHeight="1">
      <c r="B16" s="14" t="s">
        <v>29</v>
      </c>
      <c r="C16" s="15" t="s">
        <v>24</v>
      </c>
      <c r="D16" s="10" t="s">
        <v>18</v>
      </c>
      <c r="E16" s="10" t="s">
        <v>18</v>
      </c>
      <c r="F16" s="10" t="s">
        <v>18</v>
      </c>
      <c r="G16" s="10" t="s">
        <v>18</v>
      </c>
      <c r="H16" s="10" t="s">
        <v>18</v>
      </c>
      <c r="I16" s="11" t="s">
        <v>19</v>
      </c>
      <c r="J16" s="12"/>
      <c r="K16" s="12"/>
      <c r="L16" s="12"/>
      <c r="M16" s="12"/>
      <c r="N16" s="12"/>
      <c r="O16" s="12"/>
    </row>
    <row r="17" ht="18.0" customHeight="1">
      <c r="B17" s="14" t="s">
        <v>30</v>
      </c>
      <c r="C17" s="15" t="s">
        <v>24</v>
      </c>
      <c r="D17" s="10" t="s">
        <v>18</v>
      </c>
      <c r="E17" s="10" t="s">
        <v>18</v>
      </c>
      <c r="F17" s="10" t="s">
        <v>18</v>
      </c>
      <c r="G17" s="10" t="s">
        <v>18</v>
      </c>
      <c r="H17" s="11" t="s">
        <v>19</v>
      </c>
      <c r="I17" s="16" t="s">
        <v>31</v>
      </c>
      <c r="J17" s="12"/>
      <c r="K17" s="12"/>
      <c r="L17" s="12"/>
      <c r="M17" s="12"/>
      <c r="N17" s="12"/>
      <c r="O17" s="12"/>
    </row>
    <row r="19" ht="19.5" customHeight="1">
      <c r="B19" s="17" t="s">
        <v>32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</row>
    <row r="20" ht="18.0" customHeight="1">
      <c r="B20" s="20" t="s">
        <v>33</v>
      </c>
      <c r="C20" s="21" t="s">
        <v>34</v>
      </c>
      <c r="D20" s="10" t="s">
        <v>18</v>
      </c>
      <c r="E20" s="10" t="s">
        <v>18</v>
      </c>
      <c r="F20" s="10" t="s">
        <v>18</v>
      </c>
      <c r="G20" s="10" t="s">
        <v>18</v>
      </c>
      <c r="H20" s="10" t="s">
        <v>18</v>
      </c>
      <c r="I20" s="10" t="s">
        <v>18</v>
      </c>
      <c r="J20" s="12"/>
      <c r="K20" s="12"/>
      <c r="L20" s="12"/>
      <c r="M20" s="12"/>
      <c r="N20" s="12"/>
      <c r="O20" s="12"/>
    </row>
    <row r="21" ht="18.0" customHeight="1">
      <c r="B21" s="22" t="s">
        <v>35</v>
      </c>
      <c r="C21" s="21" t="s">
        <v>34</v>
      </c>
      <c r="D21" s="10" t="s">
        <v>18</v>
      </c>
      <c r="E21" s="10" t="s">
        <v>18</v>
      </c>
      <c r="F21" s="10" t="s">
        <v>18</v>
      </c>
      <c r="G21" s="10" t="s">
        <v>18</v>
      </c>
      <c r="H21" s="10" t="s">
        <v>18</v>
      </c>
      <c r="I21" s="11" t="s">
        <v>19</v>
      </c>
      <c r="J21" s="12"/>
      <c r="K21" s="12"/>
      <c r="L21" s="12"/>
      <c r="M21" s="12"/>
      <c r="N21" s="12"/>
      <c r="O21" s="12"/>
    </row>
    <row r="22" ht="15.75" customHeight="1"/>
    <row r="23" ht="19.5" customHeight="1">
      <c r="B23" s="23" t="s">
        <v>36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5"/>
    </row>
    <row r="24" ht="18.0" customHeight="1">
      <c r="B24" s="26" t="s">
        <v>37</v>
      </c>
      <c r="C24" s="27" t="s">
        <v>38</v>
      </c>
      <c r="D24" s="10" t="s">
        <v>18</v>
      </c>
      <c r="E24" s="10" t="s">
        <v>18</v>
      </c>
      <c r="F24" s="10" t="s">
        <v>18</v>
      </c>
      <c r="G24" s="10" t="s">
        <v>18</v>
      </c>
      <c r="H24" s="10" t="s">
        <v>18</v>
      </c>
      <c r="I24" s="11" t="s">
        <v>19</v>
      </c>
      <c r="J24" s="12"/>
      <c r="K24" s="12"/>
      <c r="L24" s="12"/>
      <c r="M24" s="12"/>
      <c r="N24" s="12"/>
      <c r="O24" s="12"/>
    </row>
    <row r="25" ht="18.0" customHeight="1">
      <c r="B25" s="26" t="s">
        <v>39</v>
      </c>
      <c r="C25" s="27" t="s">
        <v>38</v>
      </c>
      <c r="D25" s="10" t="s">
        <v>18</v>
      </c>
      <c r="E25" s="10" t="s">
        <v>18</v>
      </c>
      <c r="F25" s="10" t="s">
        <v>18</v>
      </c>
      <c r="G25" s="10" t="s">
        <v>18</v>
      </c>
      <c r="H25" s="10" t="s">
        <v>18</v>
      </c>
      <c r="I25" s="11" t="s">
        <v>19</v>
      </c>
      <c r="J25" s="12"/>
      <c r="K25" s="12"/>
      <c r="L25" s="12"/>
      <c r="M25" s="12"/>
      <c r="N25" s="12"/>
      <c r="O25" s="12"/>
    </row>
    <row r="26" ht="18.0" customHeight="1">
      <c r="B26" s="26" t="s">
        <v>40</v>
      </c>
      <c r="C26" s="27" t="s">
        <v>38</v>
      </c>
      <c r="D26" s="10" t="s">
        <v>18</v>
      </c>
      <c r="E26" s="10" t="s">
        <v>18</v>
      </c>
      <c r="F26" s="10" t="s">
        <v>18</v>
      </c>
      <c r="G26" s="10" t="s">
        <v>18</v>
      </c>
      <c r="H26" s="11" t="s">
        <v>19</v>
      </c>
      <c r="I26" s="11" t="s">
        <v>19</v>
      </c>
      <c r="J26" s="12"/>
      <c r="K26" s="12"/>
      <c r="L26" s="12"/>
      <c r="M26" s="12"/>
      <c r="N26" s="12"/>
      <c r="O26" s="12"/>
    </row>
    <row r="27" ht="18.0" customHeight="1">
      <c r="B27" s="26" t="s">
        <v>41</v>
      </c>
      <c r="C27" s="27" t="s">
        <v>38</v>
      </c>
      <c r="D27" s="10" t="s">
        <v>18</v>
      </c>
      <c r="E27" s="10" t="s">
        <v>18</v>
      </c>
      <c r="F27" s="10" t="s">
        <v>18</v>
      </c>
      <c r="G27" s="10" t="s">
        <v>18</v>
      </c>
      <c r="H27" s="11" t="s">
        <v>19</v>
      </c>
      <c r="I27" s="16" t="s">
        <v>31</v>
      </c>
      <c r="J27" s="12"/>
      <c r="K27" s="12"/>
      <c r="L27" s="12"/>
      <c r="M27" s="12"/>
      <c r="N27" s="12"/>
      <c r="O27" s="12"/>
    </row>
    <row r="28" ht="15.75" customHeight="1"/>
    <row r="29" ht="19.5" customHeight="1">
      <c r="B29" s="28" t="s">
        <v>42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30"/>
    </row>
    <row r="30" ht="18.0" customHeight="1">
      <c r="B30" s="31" t="s">
        <v>43</v>
      </c>
      <c r="C30" s="32" t="s">
        <v>44</v>
      </c>
      <c r="D30" s="10" t="s">
        <v>18</v>
      </c>
      <c r="E30" s="10" t="s">
        <v>18</v>
      </c>
      <c r="F30" s="10" t="s">
        <v>18</v>
      </c>
      <c r="G30" s="10" t="s">
        <v>18</v>
      </c>
      <c r="H30" s="10" t="s">
        <v>18</v>
      </c>
      <c r="I30" s="10" t="s">
        <v>18</v>
      </c>
      <c r="J30" s="12"/>
      <c r="K30" s="12"/>
      <c r="L30" s="12"/>
      <c r="M30" s="12"/>
      <c r="N30" s="12"/>
      <c r="O30" s="12"/>
    </row>
    <row r="31" ht="18.0" customHeight="1">
      <c r="B31" s="31" t="s">
        <v>45</v>
      </c>
      <c r="C31" s="32" t="s">
        <v>44</v>
      </c>
      <c r="D31" s="10" t="s">
        <v>18</v>
      </c>
      <c r="E31" s="10" t="s">
        <v>18</v>
      </c>
      <c r="F31" s="10" t="s">
        <v>18</v>
      </c>
      <c r="G31" s="10" t="s">
        <v>18</v>
      </c>
      <c r="H31" s="10" t="s">
        <v>18</v>
      </c>
      <c r="I31" s="10" t="s">
        <v>18</v>
      </c>
      <c r="J31" s="12"/>
      <c r="K31" s="12"/>
      <c r="L31" s="12"/>
      <c r="M31" s="12"/>
      <c r="N31" s="12"/>
      <c r="O31" s="12"/>
    </row>
    <row r="32" ht="18.0" customHeight="1">
      <c r="B32" s="31" t="s">
        <v>46</v>
      </c>
      <c r="C32" s="32" t="s">
        <v>44</v>
      </c>
      <c r="D32" s="10" t="s">
        <v>18</v>
      </c>
      <c r="E32" s="10" t="s">
        <v>18</v>
      </c>
      <c r="F32" s="10" t="s">
        <v>18</v>
      </c>
      <c r="G32" s="10" t="s">
        <v>18</v>
      </c>
      <c r="H32" s="10" t="s">
        <v>18</v>
      </c>
      <c r="I32" s="10" t="s">
        <v>18</v>
      </c>
      <c r="J32" s="12"/>
      <c r="K32" s="12"/>
      <c r="L32" s="12"/>
      <c r="M32" s="12"/>
      <c r="N32" s="12"/>
      <c r="O32" s="12"/>
    </row>
    <row r="33" ht="18.0" customHeight="1">
      <c r="B33" s="31" t="s">
        <v>47</v>
      </c>
      <c r="C33" s="32" t="s">
        <v>44</v>
      </c>
      <c r="D33" s="10" t="s">
        <v>18</v>
      </c>
      <c r="E33" s="10" t="s">
        <v>18</v>
      </c>
      <c r="F33" s="10" t="s">
        <v>18</v>
      </c>
      <c r="G33" s="10" t="s">
        <v>18</v>
      </c>
      <c r="H33" s="10" t="s">
        <v>18</v>
      </c>
      <c r="I33" s="10" t="s">
        <v>18</v>
      </c>
      <c r="J33" s="12"/>
      <c r="K33" s="12"/>
      <c r="L33" s="12"/>
      <c r="M33" s="12"/>
      <c r="N33" s="12"/>
      <c r="O33" s="12"/>
    </row>
    <row r="34" ht="18.0" customHeight="1">
      <c r="B34" s="31" t="s">
        <v>48</v>
      </c>
      <c r="C34" s="32" t="s">
        <v>44</v>
      </c>
      <c r="D34" s="10" t="s">
        <v>18</v>
      </c>
      <c r="E34" s="10" t="s">
        <v>18</v>
      </c>
      <c r="F34" s="10" t="s">
        <v>18</v>
      </c>
      <c r="G34" s="10" t="s">
        <v>18</v>
      </c>
      <c r="H34" s="11" t="s">
        <v>19</v>
      </c>
      <c r="I34" s="11" t="s">
        <v>19</v>
      </c>
      <c r="J34" s="12"/>
      <c r="K34" s="12"/>
      <c r="L34" s="12"/>
      <c r="M34" s="12"/>
      <c r="N34" s="12"/>
      <c r="O34" s="12"/>
    </row>
    <row r="35" ht="18.0" customHeight="1">
      <c r="B35" s="31" t="s">
        <v>49</v>
      </c>
      <c r="C35" s="32" t="s">
        <v>44</v>
      </c>
      <c r="D35" s="10" t="s">
        <v>18</v>
      </c>
      <c r="E35" s="10" t="s">
        <v>18</v>
      </c>
      <c r="F35" s="10" t="s">
        <v>18</v>
      </c>
      <c r="G35" s="10" t="s">
        <v>18</v>
      </c>
      <c r="H35" s="11" t="s">
        <v>19</v>
      </c>
      <c r="I35" s="11" t="s">
        <v>19</v>
      </c>
      <c r="J35" s="12"/>
      <c r="K35" s="12"/>
      <c r="L35" s="12"/>
      <c r="M35" s="12"/>
      <c r="N35" s="12"/>
      <c r="O35" s="12"/>
    </row>
    <row r="36" ht="15.75" customHeight="1"/>
    <row r="37" ht="15.75" customHeight="1"/>
    <row r="38" ht="15.75" customHeight="1">
      <c r="B38" s="33" t="s">
        <v>50</v>
      </c>
      <c r="C38" s="2"/>
      <c r="D38" s="2"/>
      <c r="E38" s="3"/>
    </row>
    <row r="39" ht="18.0" customHeight="1">
      <c r="B39" s="11" t="s">
        <v>19</v>
      </c>
      <c r="C39" s="34" t="s">
        <v>51</v>
      </c>
      <c r="D39" s="35"/>
      <c r="E39" s="36"/>
    </row>
    <row r="40" ht="18.0" customHeight="1">
      <c r="B40" s="16" t="s">
        <v>31</v>
      </c>
      <c r="C40" s="34" t="s">
        <v>52</v>
      </c>
      <c r="D40" s="35"/>
      <c r="E40" s="36"/>
    </row>
    <row r="41" ht="18.0" customHeight="1">
      <c r="B41" s="37" t="s">
        <v>53</v>
      </c>
      <c r="C41" s="34" t="s">
        <v>54</v>
      </c>
      <c r="D41" s="35"/>
      <c r="E41" s="36"/>
    </row>
    <row r="42" ht="18.0" customHeight="1">
      <c r="B42" s="10" t="s">
        <v>18</v>
      </c>
      <c r="C42" s="34" t="s">
        <v>55</v>
      </c>
      <c r="D42" s="35"/>
      <c r="E42" s="36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C39:E39"/>
    <mergeCell ref="C40:E40"/>
    <mergeCell ref="C41:E41"/>
    <mergeCell ref="C42:E42"/>
    <mergeCell ref="B2:O2"/>
    <mergeCell ref="B5:O5"/>
    <mergeCell ref="B10:O10"/>
    <mergeCell ref="B19:O19"/>
    <mergeCell ref="B23:O23"/>
    <mergeCell ref="B29:O29"/>
    <mergeCell ref="B38:E3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4.0"/>
    <col customWidth="1" min="2" max="2" width="32.0"/>
    <col customWidth="1" min="3" max="14" width="10.0"/>
    <col customWidth="1" min="15" max="15" width="12.0"/>
    <col customWidth="1" min="16" max="26" width="14.38"/>
  </cols>
  <sheetData>
    <row r="2" ht="30.0" customHeight="1">
      <c r="B2" s="38" t="s">
        <v>56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</row>
    <row r="4" ht="21.75" customHeight="1">
      <c r="B4" s="4" t="s">
        <v>57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58</v>
      </c>
    </row>
    <row r="5" ht="19.5" customHeight="1">
      <c r="B5" s="5" t="s">
        <v>59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7"/>
    </row>
    <row r="6" ht="18.0" customHeight="1">
      <c r="B6" s="39" t="s">
        <v>60</v>
      </c>
      <c r="C6" s="40" t="s">
        <v>18</v>
      </c>
      <c r="D6" s="40" t="s">
        <v>18</v>
      </c>
      <c r="E6" s="40" t="s">
        <v>18</v>
      </c>
      <c r="F6" s="40" t="s">
        <v>18</v>
      </c>
      <c r="G6" s="40">
        <v>64.0</v>
      </c>
      <c r="H6" s="41">
        <v>74.0</v>
      </c>
      <c r="I6" s="42">
        <v>0.0</v>
      </c>
      <c r="J6" s="42">
        <v>0.0</v>
      </c>
      <c r="K6" s="42">
        <v>0.0</v>
      </c>
      <c r="L6" s="42">
        <v>0.0</v>
      </c>
      <c r="M6" s="42">
        <v>0.0</v>
      </c>
      <c r="N6" s="42">
        <v>0.0</v>
      </c>
      <c r="O6" s="43">
        <f t="shared" ref="O6:O10" si="1">SUM(C6:N6)</f>
        <v>138</v>
      </c>
    </row>
    <row r="7" ht="18.0" customHeight="1">
      <c r="B7" s="39" t="s">
        <v>61</v>
      </c>
      <c r="C7" s="40" t="s">
        <v>18</v>
      </c>
      <c r="D7" s="40" t="s">
        <v>18</v>
      </c>
      <c r="E7" s="40" t="s">
        <v>18</v>
      </c>
      <c r="F7" s="40" t="s">
        <v>18</v>
      </c>
      <c r="G7" s="40" t="s">
        <v>18</v>
      </c>
      <c r="H7" s="41">
        <v>29.0</v>
      </c>
      <c r="I7" s="42">
        <v>0.0</v>
      </c>
      <c r="J7" s="42">
        <v>0.0</v>
      </c>
      <c r="K7" s="42">
        <v>0.0</v>
      </c>
      <c r="L7" s="42">
        <v>0.0</v>
      </c>
      <c r="M7" s="42">
        <v>0.0</v>
      </c>
      <c r="N7" s="42">
        <v>0.0</v>
      </c>
      <c r="O7" s="43">
        <f t="shared" si="1"/>
        <v>29</v>
      </c>
    </row>
    <row r="8" ht="18.0" customHeight="1">
      <c r="B8" s="39" t="s">
        <v>62</v>
      </c>
      <c r="C8" s="40" t="s">
        <v>18</v>
      </c>
      <c r="D8" s="40" t="s">
        <v>18</v>
      </c>
      <c r="E8" s="40" t="s">
        <v>18</v>
      </c>
      <c r="F8" s="40" t="s">
        <v>18</v>
      </c>
      <c r="G8" s="40" t="s">
        <v>18</v>
      </c>
      <c r="H8" s="41">
        <v>4.0</v>
      </c>
      <c r="I8" s="42">
        <v>0.0</v>
      </c>
      <c r="J8" s="42">
        <v>0.0</v>
      </c>
      <c r="K8" s="42">
        <v>0.0</v>
      </c>
      <c r="L8" s="42">
        <v>0.0</v>
      </c>
      <c r="M8" s="42">
        <v>0.0</v>
      </c>
      <c r="N8" s="42">
        <v>0.0</v>
      </c>
      <c r="O8" s="43">
        <f t="shared" si="1"/>
        <v>4</v>
      </c>
    </row>
    <row r="9" ht="18.0" customHeight="1">
      <c r="B9" s="39" t="s">
        <v>63</v>
      </c>
      <c r="C9" s="40" t="s">
        <v>18</v>
      </c>
      <c r="D9" s="40" t="s">
        <v>18</v>
      </c>
      <c r="E9" s="40" t="s">
        <v>18</v>
      </c>
      <c r="F9" s="40" t="s">
        <v>18</v>
      </c>
      <c r="G9" s="40" t="s">
        <v>18</v>
      </c>
      <c r="H9" s="44">
        <v>14.0</v>
      </c>
      <c r="I9" s="42">
        <v>0.0</v>
      </c>
      <c r="J9" s="42">
        <v>0.0</v>
      </c>
      <c r="K9" s="42">
        <v>0.0</v>
      </c>
      <c r="L9" s="42">
        <v>0.0</v>
      </c>
      <c r="M9" s="42">
        <v>0.0</v>
      </c>
      <c r="N9" s="42">
        <v>0.0</v>
      </c>
      <c r="O9" s="43">
        <f t="shared" si="1"/>
        <v>14</v>
      </c>
    </row>
    <row r="10" ht="18.0" customHeight="1">
      <c r="B10" s="39" t="s">
        <v>64</v>
      </c>
      <c r="C10" s="40" t="s">
        <v>18</v>
      </c>
      <c r="D10" s="40" t="s">
        <v>18</v>
      </c>
      <c r="E10" s="40" t="s">
        <v>18</v>
      </c>
      <c r="F10" s="40" t="s">
        <v>18</v>
      </c>
      <c r="G10" s="40" t="s">
        <v>18</v>
      </c>
      <c r="H10" s="44">
        <v>4.0</v>
      </c>
      <c r="I10" s="42">
        <v>0.0</v>
      </c>
      <c r="J10" s="42">
        <v>0.0</v>
      </c>
      <c r="K10" s="42">
        <v>0.0</v>
      </c>
      <c r="L10" s="42">
        <v>0.0</v>
      </c>
      <c r="M10" s="42">
        <v>0.0</v>
      </c>
      <c r="N10" s="42">
        <v>0.0</v>
      </c>
      <c r="O10" s="43">
        <f t="shared" si="1"/>
        <v>4</v>
      </c>
    </row>
    <row r="12" ht="19.5" customHeight="1">
      <c r="B12" s="13" t="s">
        <v>65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3"/>
    </row>
    <row r="13" ht="18.0" customHeight="1">
      <c r="B13" s="45" t="s">
        <v>66</v>
      </c>
      <c r="C13" s="40">
        <v>15.0</v>
      </c>
      <c r="D13" s="40">
        <v>15.0</v>
      </c>
      <c r="E13" s="40">
        <v>15.0</v>
      </c>
      <c r="F13" s="40">
        <v>18.0</v>
      </c>
      <c r="G13" s="40">
        <v>22.0</v>
      </c>
      <c r="H13" s="40">
        <v>20.0</v>
      </c>
      <c r="I13" s="42">
        <v>0.0</v>
      </c>
      <c r="J13" s="42">
        <v>0.0</v>
      </c>
      <c r="K13" s="42">
        <v>0.0</v>
      </c>
      <c r="L13" s="42">
        <v>0.0</v>
      </c>
      <c r="M13" s="42">
        <v>0.0</v>
      </c>
      <c r="N13" s="42">
        <v>0.0</v>
      </c>
      <c r="O13" s="43">
        <f>N13</f>
        <v>0</v>
      </c>
    </row>
    <row r="14" ht="18.0" customHeight="1">
      <c r="B14" s="45" t="s">
        <v>67</v>
      </c>
      <c r="C14" s="40" t="s">
        <v>18</v>
      </c>
      <c r="D14" s="40" t="s">
        <v>18</v>
      </c>
      <c r="E14" s="40" t="s">
        <v>18</v>
      </c>
      <c r="F14" s="40" t="s">
        <v>18</v>
      </c>
      <c r="G14" s="40" t="s">
        <v>18</v>
      </c>
      <c r="H14" s="42">
        <v>0.0</v>
      </c>
      <c r="I14" s="42">
        <v>0.0</v>
      </c>
      <c r="J14" s="42">
        <v>0.0</v>
      </c>
      <c r="K14" s="42">
        <v>0.0</v>
      </c>
      <c r="L14" s="42">
        <v>0.0</v>
      </c>
      <c r="M14" s="42">
        <v>0.0</v>
      </c>
      <c r="N14" s="42">
        <v>0.0</v>
      </c>
      <c r="O14" s="43">
        <f t="shared" ref="O14:O15" si="2">SUM(C14:N14)</f>
        <v>0</v>
      </c>
    </row>
    <row r="15" ht="18.0" customHeight="1">
      <c r="B15" s="45" t="s">
        <v>68</v>
      </c>
      <c r="C15" s="40" t="s">
        <v>18</v>
      </c>
      <c r="D15" s="40" t="s">
        <v>18</v>
      </c>
      <c r="E15" s="40" t="s">
        <v>18</v>
      </c>
      <c r="F15" s="40" t="s">
        <v>18</v>
      </c>
      <c r="G15" s="40" t="s">
        <v>18</v>
      </c>
      <c r="H15" s="40">
        <v>2.0</v>
      </c>
      <c r="I15" s="42">
        <v>0.0</v>
      </c>
      <c r="J15" s="42">
        <v>0.0</v>
      </c>
      <c r="K15" s="42">
        <v>0.0</v>
      </c>
      <c r="L15" s="42">
        <v>0.0</v>
      </c>
      <c r="M15" s="42">
        <v>0.0</v>
      </c>
      <c r="N15" s="42">
        <v>0.0</v>
      </c>
      <c r="O15" s="43">
        <f t="shared" si="2"/>
        <v>2</v>
      </c>
    </row>
    <row r="16" ht="18.0" customHeight="1">
      <c r="B16" s="45" t="s">
        <v>69</v>
      </c>
      <c r="C16" s="40" t="s">
        <v>18</v>
      </c>
      <c r="D16" s="40" t="s">
        <v>18</v>
      </c>
      <c r="E16" s="40" t="s">
        <v>18</v>
      </c>
      <c r="F16" s="40" t="s">
        <v>18</v>
      </c>
      <c r="G16" s="40" t="s">
        <v>18</v>
      </c>
      <c r="H16" s="46">
        <v>0.1</v>
      </c>
      <c r="I16" s="42">
        <v>0.0</v>
      </c>
      <c r="J16" s="42">
        <v>0.0</v>
      </c>
      <c r="K16" s="42">
        <v>0.0</v>
      </c>
      <c r="L16" s="42">
        <v>0.0</v>
      </c>
      <c r="M16" s="42">
        <v>0.0</v>
      </c>
      <c r="N16" s="42">
        <v>0.0</v>
      </c>
      <c r="O16" s="43">
        <f>AVERAGE(C16:N16)</f>
        <v>0.01428571429</v>
      </c>
    </row>
    <row r="18" ht="19.5" customHeight="1">
      <c r="B18" s="17" t="s">
        <v>70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</row>
    <row r="19" ht="18.0" customHeight="1">
      <c r="B19" s="47" t="s">
        <v>71</v>
      </c>
      <c r="C19" s="40" t="s">
        <v>18</v>
      </c>
      <c r="D19" s="40" t="s">
        <v>18</v>
      </c>
      <c r="E19" s="40" t="s">
        <v>18</v>
      </c>
      <c r="F19" s="40" t="s">
        <v>18</v>
      </c>
      <c r="G19" s="40" t="s">
        <v>18</v>
      </c>
      <c r="H19" s="40">
        <v>1.0</v>
      </c>
      <c r="I19" s="42">
        <v>0.0</v>
      </c>
      <c r="J19" s="42">
        <v>0.0</v>
      </c>
      <c r="K19" s="42">
        <v>0.0</v>
      </c>
      <c r="L19" s="42">
        <v>0.0</v>
      </c>
      <c r="M19" s="42">
        <v>0.0</v>
      </c>
      <c r="N19" s="42">
        <v>0.0</v>
      </c>
      <c r="O19" s="43">
        <f t="shared" ref="O19:O22" si="3">SUM(C19:N19)</f>
        <v>1</v>
      </c>
    </row>
    <row r="20" ht="18.0" customHeight="1">
      <c r="B20" s="47" t="s">
        <v>72</v>
      </c>
      <c r="C20" s="40" t="s">
        <v>18</v>
      </c>
      <c r="D20" s="40" t="s">
        <v>18</v>
      </c>
      <c r="E20" s="40" t="s">
        <v>18</v>
      </c>
      <c r="F20" s="40" t="s">
        <v>18</v>
      </c>
      <c r="G20" s="40" t="s">
        <v>18</v>
      </c>
      <c r="H20" s="42">
        <v>0.0</v>
      </c>
      <c r="I20" s="42">
        <v>0.0</v>
      </c>
      <c r="J20" s="42">
        <v>0.0</v>
      </c>
      <c r="K20" s="42">
        <v>0.0</v>
      </c>
      <c r="L20" s="42">
        <v>0.0</v>
      </c>
      <c r="M20" s="42">
        <v>0.0</v>
      </c>
      <c r="N20" s="42">
        <v>0.0</v>
      </c>
      <c r="O20" s="43">
        <f t="shared" si="3"/>
        <v>0</v>
      </c>
    </row>
    <row r="21" ht="18.0" customHeight="1">
      <c r="B21" s="47" t="s">
        <v>73</v>
      </c>
      <c r="C21" s="40" t="s">
        <v>18</v>
      </c>
      <c r="D21" s="40" t="s">
        <v>18</v>
      </c>
      <c r="E21" s="40" t="s">
        <v>18</v>
      </c>
      <c r="F21" s="40" t="s">
        <v>18</v>
      </c>
      <c r="G21" s="40" t="s">
        <v>18</v>
      </c>
      <c r="H21" s="40">
        <v>1.0</v>
      </c>
      <c r="I21" s="42">
        <v>0.0</v>
      </c>
      <c r="J21" s="42">
        <v>0.0</v>
      </c>
      <c r="K21" s="42">
        <v>0.0</v>
      </c>
      <c r="L21" s="42">
        <v>0.0</v>
      </c>
      <c r="M21" s="42">
        <v>0.0</v>
      </c>
      <c r="N21" s="42">
        <v>0.0</v>
      </c>
      <c r="O21" s="43">
        <f t="shared" si="3"/>
        <v>1</v>
      </c>
    </row>
    <row r="22" ht="18.0" customHeight="1">
      <c r="B22" s="47" t="s">
        <v>74</v>
      </c>
      <c r="C22" s="40" t="s">
        <v>18</v>
      </c>
      <c r="D22" s="40" t="s">
        <v>18</v>
      </c>
      <c r="E22" s="40" t="s">
        <v>18</v>
      </c>
      <c r="F22" s="40" t="s">
        <v>18</v>
      </c>
      <c r="G22" s="40" t="s">
        <v>18</v>
      </c>
      <c r="H22" s="40">
        <v>1.0</v>
      </c>
      <c r="I22" s="42">
        <v>0.0</v>
      </c>
      <c r="J22" s="42">
        <v>0.0</v>
      </c>
      <c r="K22" s="42">
        <v>0.0</v>
      </c>
      <c r="L22" s="42">
        <v>0.0</v>
      </c>
      <c r="M22" s="42">
        <v>0.0</v>
      </c>
      <c r="N22" s="42">
        <v>0.0</v>
      </c>
      <c r="O22" s="43">
        <f t="shared" si="3"/>
        <v>1</v>
      </c>
    </row>
    <row r="23" ht="15.75" customHeight="1"/>
    <row r="24" ht="19.5" customHeight="1">
      <c r="B24" s="23" t="s">
        <v>75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5"/>
    </row>
    <row r="25" ht="18.0" customHeight="1">
      <c r="B25" s="48" t="s">
        <v>76</v>
      </c>
      <c r="C25" s="40" t="s">
        <v>18</v>
      </c>
      <c r="D25" s="40" t="s">
        <v>18</v>
      </c>
      <c r="E25" s="40" t="s">
        <v>18</v>
      </c>
      <c r="F25" s="40" t="s">
        <v>18</v>
      </c>
      <c r="G25" s="40" t="s">
        <v>18</v>
      </c>
      <c r="H25" s="42">
        <v>0.0</v>
      </c>
      <c r="I25" s="42">
        <v>0.0</v>
      </c>
      <c r="J25" s="42">
        <v>0.0</v>
      </c>
      <c r="K25" s="42">
        <v>0.0</v>
      </c>
      <c r="L25" s="42">
        <v>0.0</v>
      </c>
      <c r="M25" s="42">
        <v>0.0</v>
      </c>
      <c r="N25" s="42">
        <v>0.0</v>
      </c>
      <c r="O25" s="43">
        <f t="shared" ref="O25:O26" si="4">N25</f>
        <v>0</v>
      </c>
    </row>
    <row r="26" ht="18.0" customHeight="1">
      <c r="B26" s="48" t="s">
        <v>77</v>
      </c>
      <c r="C26" s="40" t="s">
        <v>18</v>
      </c>
      <c r="D26" s="40" t="s">
        <v>18</v>
      </c>
      <c r="E26" s="40" t="s">
        <v>18</v>
      </c>
      <c r="F26" s="40" t="s">
        <v>18</v>
      </c>
      <c r="G26" s="40" t="s">
        <v>18</v>
      </c>
      <c r="H26" s="42">
        <v>0.0</v>
      </c>
      <c r="I26" s="42">
        <v>0.0</v>
      </c>
      <c r="J26" s="42">
        <v>0.0</v>
      </c>
      <c r="K26" s="42">
        <v>0.0</v>
      </c>
      <c r="L26" s="42">
        <v>0.0</v>
      </c>
      <c r="M26" s="42">
        <v>0.0</v>
      </c>
      <c r="N26" s="42">
        <v>0.0</v>
      </c>
      <c r="O26" s="43">
        <f t="shared" si="4"/>
        <v>0</v>
      </c>
    </row>
    <row r="27" ht="18.0" customHeight="1">
      <c r="B27" s="48" t="s">
        <v>78</v>
      </c>
      <c r="C27" s="40" t="s">
        <v>18</v>
      </c>
      <c r="D27" s="40" t="s">
        <v>18</v>
      </c>
      <c r="E27" s="40" t="s">
        <v>18</v>
      </c>
      <c r="F27" s="40" t="s">
        <v>18</v>
      </c>
      <c r="G27" s="40" t="s">
        <v>18</v>
      </c>
      <c r="H27" s="42">
        <v>0.0</v>
      </c>
      <c r="I27" s="42">
        <v>0.0</v>
      </c>
      <c r="J27" s="42">
        <v>0.0</v>
      </c>
      <c r="K27" s="42">
        <v>0.0</v>
      </c>
      <c r="L27" s="42">
        <v>0.0</v>
      </c>
      <c r="M27" s="42">
        <v>0.0</v>
      </c>
      <c r="N27" s="42">
        <v>0.0</v>
      </c>
      <c r="O27" s="43">
        <f>SUM(C27:N27)</f>
        <v>0</v>
      </c>
    </row>
    <row r="28" ht="15.75" customHeight="1"/>
    <row r="29" ht="19.5" customHeight="1">
      <c r="B29" s="28" t="s">
        <v>79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30"/>
    </row>
    <row r="30" ht="18.0" customHeight="1">
      <c r="B30" s="49" t="s">
        <v>80</v>
      </c>
      <c r="C30" s="40" t="s">
        <v>18</v>
      </c>
      <c r="D30" s="40" t="s">
        <v>18</v>
      </c>
      <c r="E30" s="40" t="s">
        <v>18</v>
      </c>
      <c r="F30" s="40" t="s">
        <v>18</v>
      </c>
      <c r="G30" s="40" t="s">
        <v>18</v>
      </c>
      <c r="H30" s="42">
        <v>0.0</v>
      </c>
      <c r="I30" s="42">
        <v>0.0</v>
      </c>
      <c r="J30" s="42">
        <v>0.0</v>
      </c>
      <c r="K30" s="42">
        <v>0.0</v>
      </c>
      <c r="L30" s="42">
        <v>0.0</v>
      </c>
      <c r="M30" s="42">
        <v>0.0</v>
      </c>
      <c r="N30" s="42">
        <v>0.0</v>
      </c>
      <c r="O30" s="43">
        <f>N30</f>
        <v>0</v>
      </c>
    </row>
    <row r="31" ht="18.0" customHeight="1">
      <c r="B31" s="49" t="s">
        <v>81</v>
      </c>
      <c r="C31" s="40" t="s">
        <v>18</v>
      </c>
      <c r="D31" s="40" t="s">
        <v>18</v>
      </c>
      <c r="E31" s="40" t="s">
        <v>18</v>
      </c>
      <c r="F31" s="40" t="s">
        <v>18</v>
      </c>
      <c r="G31" s="40" t="s">
        <v>18</v>
      </c>
      <c r="H31" s="40">
        <v>1.0</v>
      </c>
      <c r="I31" s="42">
        <v>0.0</v>
      </c>
      <c r="J31" s="42">
        <v>0.0</v>
      </c>
      <c r="K31" s="42">
        <v>0.0</v>
      </c>
      <c r="L31" s="42">
        <v>0.0</v>
      </c>
      <c r="M31" s="42">
        <v>0.0</v>
      </c>
      <c r="N31" s="42">
        <v>0.0</v>
      </c>
      <c r="O31" s="43">
        <f t="shared" ref="O31:O32" si="5">SUM(C31:N31)</f>
        <v>1</v>
      </c>
    </row>
    <row r="32" ht="18.0" customHeight="1">
      <c r="B32" s="49" t="s">
        <v>82</v>
      </c>
      <c r="C32" s="40" t="s">
        <v>18</v>
      </c>
      <c r="D32" s="40" t="s">
        <v>18</v>
      </c>
      <c r="E32" s="40" t="s">
        <v>18</v>
      </c>
      <c r="F32" s="40" t="s">
        <v>18</v>
      </c>
      <c r="G32" s="40" t="s">
        <v>18</v>
      </c>
      <c r="H32" s="42">
        <v>0.0</v>
      </c>
      <c r="I32" s="42">
        <v>0.0</v>
      </c>
      <c r="J32" s="42">
        <v>0.0</v>
      </c>
      <c r="K32" s="42">
        <v>0.0</v>
      </c>
      <c r="L32" s="42">
        <v>0.0</v>
      </c>
      <c r="M32" s="42">
        <v>0.0</v>
      </c>
      <c r="N32" s="42">
        <v>0.0</v>
      </c>
      <c r="O32" s="43">
        <f t="shared" si="5"/>
        <v>0</v>
      </c>
    </row>
    <row r="33" ht="15.75" customHeight="1"/>
    <row r="34" ht="15.75" customHeight="1"/>
    <row r="35" ht="15.75" customHeight="1">
      <c r="B35" s="50" t="s">
        <v>83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:O2"/>
    <mergeCell ref="B5:O5"/>
    <mergeCell ref="B12:O12"/>
    <mergeCell ref="B18:O18"/>
    <mergeCell ref="B24:O24"/>
    <mergeCell ref="B29:O29"/>
    <mergeCell ref="B35:O35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4.0"/>
    <col customWidth="1" min="2" max="2" width="8.0"/>
    <col customWidth="1" min="3" max="3" width="13.0"/>
    <col customWidth="1" min="4" max="4" width="20.0"/>
    <col customWidth="1" min="5" max="5" width="16.0"/>
    <col customWidth="1" min="6" max="6" width="20.0"/>
    <col customWidth="1" min="7" max="7" width="35.0"/>
    <col customWidth="1" min="8" max="8" width="30.0"/>
    <col customWidth="1" min="9" max="9" width="16.0"/>
    <col customWidth="1" min="10" max="10" width="14.0"/>
    <col customWidth="1" min="11" max="11" width="20.0"/>
    <col customWidth="1" min="12" max="26" width="14.38"/>
  </cols>
  <sheetData>
    <row r="2" ht="30.0" customHeight="1">
      <c r="B2" s="51" t="s">
        <v>84</v>
      </c>
      <c r="C2" s="2"/>
      <c r="D2" s="2"/>
      <c r="E2" s="2"/>
      <c r="F2" s="2"/>
      <c r="G2" s="2"/>
      <c r="H2" s="2"/>
      <c r="I2" s="2"/>
      <c r="J2" s="2"/>
      <c r="K2" s="3"/>
    </row>
    <row r="3">
      <c r="B3" s="52" t="s">
        <v>85</v>
      </c>
      <c r="C3" s="2"/>
      <c r="D3" s="2"/>
      <c r="E3" s="2"/>
      <c r="F3" s="2"/>
      <c r="G3" s="2"/>
      <c r="H3" s="2"/>
      <c r="I3" s="2"/>
      <c r="J3" s="2"/>
      <c r="K3" s="3"/>
    </row>
    <row r="4" ht="21.75" customHeight="1">
      <c r="B4" s="53" t="s">
        <v>86</v>
      </c>
      <c r="C4" s="53" t="s">
        <v>87</v>
      </c>
      <c r="D4" s="53" t="s">
        <v>88</v>
      </c>
      <c r="E4" s="53" t="s">
        <v>89</v>
      </c>
      <c r="F4" s="53" t="s">
        <v>90</v>
      </c>
      <c r="G4" s="53" t="s">
        <v>91</v>
      </c>
      <c r="H4" s="53" t="s">
        <v>92</v>
      </c>
      <c r="I4" s="53" t="s">
        <v>93</v>
      </c>
      <c r="J4" s="53" t="s">
        <v>94</v>
      </c>
      <c r="K4" s="53" t="s">
        <v>95</v>
      </c>
    </row>
    <row r="5" ht="21.75" customHeight="1">
      <c r="B5" s="54">
        <v>1.0</v>
      </c>
      <c r="C5" s="55">
        <v>46151.0</v>
      </c>
      <c r="D5" s="56" t="s">
        <v>96</v>
      </c>
      <c r="E5" s="56" t="s">
        <v>97</v>
      </c>
      <c r="F5" s="56" t="s">
        <v>98</v>
      </c>
      <c r="G5" s="56" t="s">
        <v>99</v>
      </c>
      <c r="H5" s="56" t="s">
        <v>100</v>
      </c>
      <c r="I5" s="56" t="s">
        <v>101</v>
      </c>
      <c r="J5" s="55">
        <v>46171.0</v>
      </c>
      <c r="K5" s="56" t="s">
        <v>102</v>
      </c>
    </row>
    <row r="6" ht="21.75" customHeight="1">
      <c r="B6" s="54">
        <v>2.0</v>
      </c>
      <c r="C6" s="57"/>
      <c r="D6" s="57"/>
      <c r="E6" s="57"/>
      <c r="F6" s="57"/>
      <c r="G6" s="57"/>
      <c r="H6" s="57"/>
      <c r="I6" s="57"/>
      <c r="J6" s="57"/>
      <c r="K6" s="57"/>
    </row>
    <row r="7" ht="21.75" customHeight="1">
      <c r="B7" s="54">
        <v>3.0</v>
      </c>
      <c r="C7" s="58"/>
      <c r="D7" s="58"/>
      <c r="E7" s="58"/>
      <c r="F7" s="58"/>
      <c r="G7" s="58"/>
      <c r="H7" s="58"/>
      <c r="I7" s="58"/>
      <c r="J7" s="58"/>
      <c r="K7" s="58"/>
    </row>
    <row r="8" ht="21.75" customHeight="1">
      <c r="B8" s="54">
        <v>4.0</v>
      </c>
      <c r="C8" s="57"/>
      <c r="D8" s="57"/>
      <c r="E8" s="57"/>
      <c r="F8" s="57"/>
      <c r="G8" s="57"/>
      <c r="H8" s="57"/>
      <c r="I8" s="57"/>
      <c r="J8" s="57"/>
      <c r="K8" s="57"/>
    </row>
    <row r="9" ht="21.75" customHeight="1">
      <c r="B9" s="54">
        <v>5.0</v>
      </c>
      <c r="C9" s="58"/>
      <c r="D9" s="58"/>
      <c r="E9" s="58"/>
      <c r="F9" s="58"/>
      <c r="G9" s="58"/>
      <c r="H9" s="58"/>
      <c r="I9" s="58"/>
      <c r="J9" s="58"/>
      <c r="K9" s="58"/>
    </row>
    <row r="10" ht="21.75" customHeight="1">
      <c r="B10" s="54">
        <v>6.0</v>
      </c>
      <c r="C10" s="57"/>
      <c r="D10" s="57"/>
      <c r="E10" s="57"/>
      <c r="F10" s="57"/>
      <c r="G10" s="57"/>
      <c r="H10" s="57"/>
      <c r="I10" s="57"/>
      <c r="J10" s="57"/>
      <c r="K10" s="57"/>
    </row>
    <row r="11" ht="21.75" customHeight="1">
      <c r="B11" s="54">
        <v>7.0</v>
      </c>
      <c r="C11" s="58"/>
      <c r="D11" s="58"/>
      <c r="E11" s="58"/>
      <c r="F11" s="58"/>
      <c r="G11" s="58"/>
      <c r="H11" s="58"/>
      <c r="I11" s="58"/>
      <c r="J11" s="58"/>
      <c r="K11" s="58"/>
    </row>
    <row r="12" ht="21.75" customHeight="1">
      <c r="B12" s="54">
        <v>8.0</v>
      </c>
      <c r="C12" s="57"/>
      <c r="D12" s="57"/>
      <c r="E12" s="57"/>
      <c r="F12" s="57"/>
      <c r="G12" s="57"/>
      <c r="H12" s="57"/>
      <c r="I12" s="57"/>
      <c r="J12" s="57"/>
      <c r="K12" s="57"/>
    </row>
    <row r="13" ht="21.75" customHeight="1">
      <c r="B13" s="54">
        <v>9.0</v>
      </c>
      <c r="C13" s="58"/>
      <c r="D13" s="58"/>
      <c r="E13" s="58"/>
      <c r="F13" s="58"/>
      <c r="G13" s="58"/>
      <c r="H13" s="58"/>
      <c r="I13" s="58"/>
      <c r="J13" s="58"/>
      <c r="K13" s="58"/>
    </row>
    <row r="14" ht="21.75" customHeight="1">
      <c r="B14" s="54">
        <v>10.0</v>
      </c>
      <c r="C14" s="57"/>
      <c r="D14" s="57"/>
      <c r="E14" s="57"/>
      <c r="F14" s="57"/>
      <c r="G14" s="57"/>
      <c r="H14" s="57"/>
      <c r="I14" s="57"/>
      <c r="J14" s="57"/>
      <c r="K14" s="57"/>
    </row>
    <row r="15" ht="21.75" customHeight="1">
      <c r="B15" s="54">
        <v>11.0</v>
      </c>
      <c r="C15" s="58"/>
      <c r="D15" s="58"/>
      <c r="E15" s="58"/>
      <c r="F15" s="58"/>
      <c r="G15" s="58"/>
      <c r="H15" s="58"/>
      <c r="I15" s="58"/>
      <c r="J15" s="58"/>
      <c r="K15" s="58"/>
    </row>
    <row r="16" ht="21.75" customHeight="1">
      <c r="B16" s="54">
        <v>12.0</v>
      </c>
      <c r="C16" s="57"/>
      <c r="D16" s="57"/>
      <c r="E16" s="57"/>
      <c r="F16" s="57"/>
      <c r="G16" s="57"/>
      <c r="H16" s="57"/>
      <c r="I16" s="57"/>
      <c r="J16" s="57"/>
      <c r="K16" s="57"/>
    </row>
    <row r="17" ht="21.75" customHeight="1">
      <c r="B17" s="54">
        <v>13.0</v>
      </c>
      <c r="C17" s="58"/>
      <c r="D17" s="58"/>
      <c r="E17" s="58"/>
      <c r="F17" s="58"/>
      <c r="G17" s="58"/>
      <c r="H17" s="58"/>
      <c r="I17" s="58"/>
      <c r="J17" s="58"/>
      <c r="K17" s="58"/>
    </row>
    <row r="18" ht="21.75" customHeight="1">
      <c r="B18" s="54">
        <v>14.0</v>
      </c>
      <c r="C18" s="57"/>
      <c r="D18" s="57"/>
      <c r="E18" s="57"/>
      <c r="F18" s="57"/>
      <c r="G18" s="57"/>
      <c r="H18" s="57"/>
      <c r="I18" s="57"/>
      <c r="J18" s="57"/>
      <c r="K18" s="57"/>
    </row>
    <row r="19" ht="21.75" customHeight="1">
      <c r="B19" s="54">
        <v>15.0</v>
      </c>
      <c r="C19" s="58"/>
      <c r="D19" s="58"/>
      <c r="E19" s="58"/>
      <c r="F19" s="58"/>
      <c r="G19" s="58"/>
      <c r="H19" s="58"/>
      <c r="I19" s="58"/>
      <c r="J19" s="58"/>
      <c r="K19" s="58"/>
    </row>
    <row r="20" ht="21.75" customHeight="1">
      <c r="B20" s="54">
        <v>16.0</v>
      </c>
      <c r="C20" s="57"/>
      <c r="D20" s="57"/>
      <c r="E20" s="57"/>
      <c r="F20" s="57"/>
      <c r="G20" s="57"/>
      <c r="H20" s="57"/>
      <c r="I20" s="57"/>
      <c r="J20" s="57"/>
      <c r="K20" s="57"/>
    </row>
    <row r="21" ht="21.75" customHeight="1">
      <c r="B21" s="54">
        <v>17.0</v>
      </c>
      <c r="C21" s="58"/>
      <c r="D21" s="58"/>
      <c r="E21" s="58"/>
      <c r="F21" s="58"/>
      <c r="G21" s="58"/>
      <c r="H21" s="58"/>
      <c r="I21" s="58"/>
      <c r="J21" s="58"/>
      <c r="K21" s="58"/>
    </row>
    <row r="22" ht="21.75" customHeight="1">
      <c r="B22" s="54">
        <v>18.0</v>
      </c>
      <c r="C22" s="57"/>
      <c r="D22" s="57"/>
      <c r="E22" s="57"/>
      <c r="F22" s="57"/>
      <c r="G22" s="57"/>
      <c r="H22" s="57"/>
      <c r="I22" s="57"/>
      <c r="J22" s="57"/>
      <c r="K22" s="57"/>
    </row>
    <row r="23" ht="21.75" customHeight="1">
      <c r="B23" s="54">
        <v>19.0</v>
      </c>
      <c r="C23" s="58"/>
      <c r="D23" s="58"/>
      <c r="E23" s="58"/>
      <c r="F23" s="58"/>
      <c r="G23" s="58"/>
      <c r="H23" s="58"/>
      <c r="I23" s="58"/>
      <c r="J23" s="58"/>
      <c r="K23" s="58"/>
    </row>
    <row r="24" ht="21.75" customHeight="1">
      <c r="B24" s="54">
        <v>20.0</v>
      </c>
      <c r="C24" s="57"/>
      <c r="D24" s="57"/>
      <c r="E24" s="57"/>
      <c r="F24" s="57"/>
      <c r="G24" s="57"/>
      <c r="H24" s="57"/>
      <c r="I24" s="57"/>
      <c r="J24" s="57"/>
      <c r="K24" s="57"/>
    </row>
    <row r="25" ht="21.75" customHeight="1">
      <c r="B25" s="54">
        <v>21.0</v>
      </c>
      <c r="C25" s="58"/>
      <c r="D25" s="58"/>
      <c r="E25" s="58"/>
      <c r="F25" s="58"/>
      <c r="G25" s="58"/>
      <c r="H25" s="58"/>
      <c r="I25" s="58"/>
      <c r="J25" s="58"/>
      <c r="K25" s="58"/>
    </row>
    <row r="26" ht="21.75" customHeight="1">
      <c r="B26" s="54">
        <v>22.0</v>
      </c>
      <c r="C26" s="57"/>
      <c r="D26" s="57"/>
      <c r="E26" s="57"/>
      <c r="F26" s="57"/>
      <c r="G26" s="57"/>
      <c r="H26" s="57"/>
      <c r="I26" s="57"/>
      <c r="J26" s="57"/>
      <c r="K26" s="57"/>
    </row>
    <row r="27" ht="21.75" customHeight="1">
      <c r="B27" s="54">
        <v>23.0</v>
      </c>
      <c r="C27" s="58"/>
      <c r="D27" s="58"/>
      <c r="E27" s="58"/>
      <c r="F27" s="58"/>
      <c r="G27" s="58"/>
      <c r="H27" s="58"/>
      <c r="I27" s="58"/>
      <c r="J27" s="58"/>
      <c r="K27" s="58"/>
    </row>
    <row r="28" ht="21.75" customHeight="1">
      <c r="B28" s="54">
        <v>24.0</v>
      </c>
      <c r="C28" s="57"/>
      <c r="D28" s="57"/>
      <c r="E28" s="57"/>
      <c r="F28" s="57"/>
      <c r="G28" s="57"/>
      <c r="H28" s="57"/>
      <c r="I28" s="57"/>
      <c r="J28" s="57"/>
      <c r="K28" s="57"/>
    </row>
    <row r="29" ht="21.75" customHeight="1">
      <c r="B29" s="54">
        <v>25.0</v>
      </c>
      <c r="C29" s="58"/>
      <c r="D29" s="58"/>
      <c r="E29" s="58"/>
      <c r="F29" s="58"/>
      <c r="G29" s="58"/>
      <c r="H29" s="58"/>
      <c r="I29" s="58"/>
      <c r="J29" s="58"/>
      <c r="K29" s="58"/>
    </row>
    <row r="30" ht="21.75" customHeight="1">
      <c r="B30" s="54">
        <v>26.0</v>
      </c>
      <c r="C30" s="57"/>
      <c r="D30" s="57"/>
      <c r="E30" s="57"/>
      <c r="F30" s="57"/>
      <c r="G30" s="57"/>
      <c r="H30" s="57"/>
      <c r="I30" s="57"/>
      <c r="J30" s="57"/>
      <c r="K30" s="57"/>
    </row>
    <row r="31" ht="21.75" customHeight="1">
      <c r="B31" s="54">
        <v>27.0</v>
      </c>
      <c r="C31" s="58"/>
      <c r="D31" s="58"/>
      <c r="E31" s="58"/>
      <c r="F31" s="58"/>
      <c r="G31" s="58"/>
      <c r="H31" s="58"/>
      <c r="I31" s="58"/>
      <c r="J31" s="58"/>
      <c r="K31" s="58"/>
    </row>
    <row r="32" ht="21.75" customHeight="1">
      <c r="B32" s="54">
        <v>28.0</v>
      </c>
      <c r="C32" s="57"/>
      <c r="D32" s="57"/>
      <c r="E32" s="57"/>
      <c r="F32" s="57"/>
      <c r="G32" s="57"/>
      <c r="H32" s="57"/>
      <c r="I32" s="57"/>
      <c r="J32" s="57"/>
      <c r="K32" s="57"/>
    </row>
    <row r="33" ht="21.75" customHeight="1">
      <c r="B33" s="54">
        <v>29.0</v>
      </c>
      <c r="C33" s="58"/>
      <c r="D33" s="58"/>
      <c r="E33" s="58"/>
      <c r="F33" s="58"/>
      <c r="G33" s="58"/>
      <c r="H33" s="58"/>
      <c r="I33" s="58"/>
      <c r="J33" s="58"/>
      <c r="K33" s="58"/>
    </row>
    <row r="34" ht="21.75" customHeight="1">
      <c r="B34" s="54">
        <v>30.0</v>
      </c>
      <c r="C34" s="57"/>
      <c r="D34" s="57"/>
      <c r="E34" s="57"/>
      <c r="F34" s="57"/>
      <c r="G34" s="57"/>
      <c r="H34" s="57"/>
      <c r="I34" s="57"/>
      <c r="J34" s="57"/>
      <c r="K34" s="57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K2"/>
    <mergeCell ref="B3:K3"/>
  </mergeCells>
  <dataValidations>
    <dataValidation type="list" allowBlank="1" sqref="I5:I34">
      <formula1>"Resuelto,En seguimiento,Escalado a dirección,Sin resolución"</formula1>
    </dataValidation>
    <dataValidation type="list" allowBlank="1" sqref="F5:F34">
      <formula1>"Conflicto interpersonal,Queja,Falta disciplinaria,Incumplimiento de política,Otro"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4.0"/>
    <col customWidth="1" min="2" max="2" width="10.0"/>
    <col customWidth="1" min="3" max="3" width="38.0"/>
    <col customWidth="1" min="4" max="4" width="14.0"/>
    <col customWidth="1" min="5" max="5" width="16.0"/>
    <col customWidth="1" min="6" max="6" width="53.25"/>
    <col customWidth="1" min="7" max="26" width="14.38"/>
  </cols>
  <sheetData>
    <row r="2" ht="30.0" customHeight="1">
      <c r="B2" s="38" t="s">
        <v>103</v>
      </c>
      <c r="C2" s="2"/>
      <c r="D2" s="2"/>
      <c r="E2" s="2"/>
      <c r="F2" s="3"/>
    </row>
    <row r="3" ht="18.0" customHeight="1">
      <c r="B3" s="59" t="s">
        <v>104</v>
      </c>
      <c r="C3" s="60">
        <v>46188.0</v>
      </c>
    </row>
    <row r="4" ht="21.75" customHeight="1">
      <c r="B4" s="4" t="s">
        <v>105</v>
      </c>
      <c r="C4" s="4" t="s">
        <v>106</v>
      </c>
      <c r="D4" s="4" t="s">
        <v>107</v>
      </c>
      <c r="E4" s="4" t="s">
        <v>108</v>
      </c>
      <c r="F4" s="4" t="s">
        <v>109</v>
      </c>
    </row>
    <row r="5" ht="19.5" customHeight="1">
      <c r="B5" s="5" t="s">
        <v>110</v>
      </c>
      <c r="C5" s="6"/>
      <c r="D5" s="6"/>
      <c r="E5" s="6"/>
      <c r="F5" s="7"/>
    </row>
    <row r="6" ht="18.0" customHeight="1">
      <c r="B6" s="9" t="s">
        <v>111</v>
      </c>
      <c r="C6" s="8" t="s">
        <v>16</v>
      </c>
      <c r="D6" s="61" t="s">
        <v>112</v>
      </c>
      <c r="E6" s="62">
        <v>46154.0</v>
      </c>
      <c r="F6" s="57"/>
    </row>
    <row r="7" ht="18.0" customHeight="1">
      <c r="B7" s="9" t="s">
        <v>111</v>
      </c>
      <c r="C7" s="8" t="s">
        <v>113</v>
      </c>
      <c r="D7" s="61" t="s">
        <v>112</v>
      </c>
      <c r="E7" s="62">
        <v>46154.0</v>
      </c>
      <c r="F7" s="57"/>
    </row>
    <row r="8" ht="18.0" customHeight="1">
      <c r="B8" s="9" t="s">
        <v>111</v>
      </c>
      <c r="C8" s="8" t="s">
        <v>21</v>
      </c>
      <c r="D8" s="61" t="s">
        <v>112</v>
      </c>
      <c r="E8" s="62">
        <v>46154.0</v>
      </c>
      <c r="F8" s="57"/>
    </row>
    <row r="9" ht="18.0" customHeight="1">
      <c r="B9" s="9" t="s">
        <v>114</v>
      </c>
      <c r="C9" s="8" t="s">
        <v>16</v>
      </c>
      <c r="D9" s="61" t="s">
        <v>112</v>
      </c>
      <c r="E9" s="62">
        <v>46154.0</v>
      </c>
      <c r="F9" s="57"/>
    </row>
    <row r="10" ht="18.0" customHeight="1">
      <c r="B10" s="9" t="s">
        <v>114</v>
      </c>
      <c r="C10" s="8" t="s">
        <v>113</v>
      </c>
      <c r="D10" s="61" t="s">
        <v>112</v>
      </c>
      <c r="E10" s="62">
        <v>46154.0</v>
      </c>
      <c r="F10" s="57"/>
    </row>
    <row r="11" ht="18.0" customHeight="1">
      <c r="B11" s="9" t="s">
        <v>114</v>
      </c>
      <c r="C11" s="8" t="s">
        <v>21</v>
      </c>
      <c r="D11" s="61" t="s">
        <v>112</v>
      </c>
      <c r="E11" s="62">
        <v>46154.0</v>
      </c>
      <c r="F11" s="57"/>
    </row>
    <row r="12" ht="18.0" customHeight="1">
      <c r="B12" s="9" t="s">
        <v>115</v>
      </c>
      <c r="C12" s="8" t="s">
        <v>16</v>
      </c>
      <c r="D12" s="61" t="s">
        <v>112</v>
      </c>
      <c r="E12" s="62">
        <v>46164.0</v>
      </c>
      <c r="F12" s="57"/>
    </row>
    <row r="13" ht="18.0" customHeight="1">
      <c r="B13" s="9" t="s">
        <v>115</v>
      </c>
      <c r="C13" s="8" t="s">
        <v>113</v>
      </c>
      <c r="D13" s="61" t="s">
        <v>112</v>
      </c>
      <c r="E13" s="62">
        <v>46164.0</v>
      </c>
      <c r="F13" s="57"/>
    </row>
    <row r="14" ht="18.0" customHeight="1">
      <c r="B14" s="9" t="s">
        <v>115</v>
      </c>
      <c r="C14" s="8" t="s">
        <v>21</v>
      </c>
      <c r="D14" s="61" t="s">
        <v>112</v>
      </c>
      <c r="E14" s="62">
        <v>46164.0</v>
      </c>
      <c r="F14" s="57"/>
    </row>
    <row r="15" ht="18.0" customHeight="1">
      <c r="B15" s="9" t="s">
        <v>116</v>
      </c>
      <c r="C15" s="8" t="s">
        <v>16</v>
      </c>
      <c r="D15" s="61" t="s">
        <v>112</v>
      </c>
      <c r="E15" s="62">
        <v>46171.0</v>
      </c>
      <c r="F15" s="57"/>
    </row>
    <row r="16" ht="18.0" customHeight="1">
      <c r="B16" s="9" t="s">
        <v>116</v>
      </c>
      <c r="C16" s="8" t="s">
        <v>113</v>
      </c>
      <c r="D16" s="61" t="s">
        <v>112</v>
      </c>
      <c r="E16" s="62">
        <v>46171.0</v>
      </c>
      <c r="F16" s="57"/>
    </row>
    <row r="17" ht="18.0" customHeight="1">
      <c r="B17" s="9" t="s">
        <v>116</v>
      </c>
      <c r="C17" s="8" t="s">
        <v>21</v>
      </c>
      <c r="D17" s="61" t="s">
        <v>112</v>
      </c>
      <c r="E17" s="62">
        <v>46171.0</v>
      </c>
      <c r="F17" s="57"/>
    </row>
    <row r="18">
      <c r="D18" s="63"/>
    </row>
    <row r="19" ht="19.5" customHeight="1">
      <c r="B19" s="13" t="s">
        <v>117</v>
      </c>
      <c r="C19" s="2"/>
      <c r="D19" s="2"/>
      <c r="E19" s="2"/>
      <c r="F19" s="3"/>
    </row>
    <row r="20" ht="18.0" customHeight="1">
      <c r="B20" s="15" t="s">
        <v>24</v>
      </c>
      <c r="C20" s="14" t="s">
        <v>23</v>
      </c>
      <c r="D20" s="61" t="s">
        <v>18</v>
      </c>
      <c r="E20" s="64"/>
      <c r="F20" s="57"/>
    </row>
    <row r="21" ht="18.0" customHeight="1">
      <c r="B21" s="15" t="s">
        <v>24</v>
      </c>
      <c r="C21" s="14" t="s">
        <v>25</v>
      </c>
      <c r="D21" s="61" t="s">
        <v>118</v>
      </c>
      <c r="E21" s="64"/>
      <c r="F21" s="57"/>
    </row>
    <row r="22" ht="18.0" customHeight="1">
      <c r="B22" s="15" t="s">
        <v>24</v>
      </c>
      <c r="C22" s="14" t="s">
        <v>119</v>
      </c>
      <c r="D22" s="61" t="s">
        <v>112</v>
      </c>
      <c r="E22" s="64"/>
      <c r="F22" s="65" t="s">
        <v>120</v>
      </c>
    </row>
    <row r="23" ht="18.0" customHeight="1">
      <c r="B23" s="15" t="s">
        <v>24</v>
      </c>
      <c r="C23" s="14" t="s">
        <v>27</v>
      </c>
      <c r="D23" s="61" t="s">
        <v>112</v>
      </c>
      <c r="E23" s="64"/>
      <c r="F23" s="57"/>
    </row>
    <row r="24" ht="18.0" customHeight="1">
      <c r="B24" s="15" t="s">
        <v>24</v>
      </c>
      <c r="C24" s="14" t="s">
        <v>28</v>
      </c>
      <c r="D24" s="61" t="s">
        <v>112</v>
      </c>
      <c r="E24" s="64"/>
      <c r="F24" s="57"/>
    </row>
    <row r="25" ht="18.0" customHeight="1">
      <c r="B25" s="15" t="s">
        <v>24</v>
      </c>
      <c r="C25" s="14" t="s">
        <v>121</v>
      </c>
      <c r="D25" s="61" t="s">
        <v>112</v>
      </c>
      <c r="E25" s="64"/>
      <c r="F25" s="57"/>
    </row>
    <row r="26" ht="18.0" customHeight="1">
      <c r="B26" s="15" t="s">
        <v>24</v>
      </c>
      <c r="C26" s="14" t="s">
        <v>122</v>
      </c>
      <c r="D26" s="61" t="s">
        <v>118</v>
      </c>
      <c r="E26" s="64"/>
      <c r="F26" s="57"/>
    </row>
    <row r="27" ht="15.75" customHeight="1">
      <c r="D27" s="63"/>
    </row>
    <row r="28" ht="19.5" customHeight="1">
      <c r="B28" s="23" t="s">
        <v>123</v>
      </c>
      <c r="C28" s="24"/>
      <c r="D28" s="24"/>
      <c r="E28" s="24"/>
      <c r="F28" s="25"/>
    </row>
    <row r="29" ht="18.0" customHeight="1">
      <c r="B29" s="27" t="s">
        <v>34</v>
      </c>
      <c r="C29" s="66" t="s">
        <v>33</v>
      </c>
      <c r="D29" s="61" t="s">
        <v>112</v>
      </c>
      <c r="E29" s="62">
        <v>46154.0</v>
      </c>
      <c r="F29" s="57"/>
    </row>
    <row r="30" ht="18.0" customHeight="1">
      <c r="B30" s="27" t="s">
        <v>34</v>
      </c>
      <c r="C30" s="26" t="s">
        <v>124</v>
      </c>
      <c r="D30" s="61" t="s">
        <v>112</v>
      </c>
      <c r="E30" s="62">
        <v>46154.0</v>
      </c>
      <c r="F30" s="57"/>
    </row>
    <row r="31" ht="18.0" customHeight="1">
      <c r="B31" s="27" t="s">
        <v>38</v>
      </c>
      <c r="C31" s="26" t="s">
        <v>125</v>
      </c>
      <c r="D31" s="61" t="s">
        <v>112</v>
      </c>
      <c r="E31" s="62">
        <v>46154.0</v>
      </c>
      <c r="F31" s="57"/>
    </row>
    <row r="32" ht="18.0" customHeight="1">
      <c r="B32" s="27" t="s">
        <v>38</v>
      </c>
      <c r="C32" s="26" t="s">
        <v>39</v>
      </c>
      <c r="D32" s="61" t="s">
        <v>112</v>
      </c>
      <c r="E32" s="62">
        <v>46154.0</v>
      </c>
      <c r="F32" s="57"/>
    </row>
    <row r="33" ht="18.0" customHeight="1">
      <c r="B33" s="27" t="s">
        <v>38</v>
      </c>
      <c r="C33" s="26" t="s">
        <v>40</v>
      </c>
      <c r="D33" s="61" t="s">
        <v>112</v>
      </c>
      <c r="E33" s="62">
        <v>46157.0</v>
      </c>
      <c r="F33" s="57"/>
    </row>
    <row r="34" ht="15.75" customHeight="1">
      <c r="D34" s="63"/>
    </row>
    <row r="35" ht="19.5" customHeight="1">
      <c r="B35" s="28" t="s">
        <v>126</v>
      </c>
      <c r="C35" s="29"/>
      <c r="D35" s="29"/>
      <c r="E35" s="29"/>
      <c r="F35" s="30"/>
    </row>
    <row r="36" ht="18.0" customHeight="1">
      <c r="B36" s="32" t="s">
        <v>44</v>
      </c>
      <c r="C36" s="31" t="s">
        <v>127</v>
      </c>
      <c r="D36" s="61" t="s">
        <v>18</v>
      </c>
      <c r="E36" s="64"/>
      <c r="F36" s="57"/>
    </row>
    <row r="37" ht="18.0" customHeight="1">
      <c r="B37" s="32" t="s">
        <v>44</v>
      </c>
      <c r="C37" s="31" t="s">
        <v>128</v>
      </c>
      <c r="D37" s="61" t="s">
        <v>18</v>
      </c>
      <c r="E37" s="64"/>
      <c r="F37" s="57"/>
    </row>
    <row r="38" ht="18.0" customHeight="1">
      <c r="B38" s="32" t="s">
        <v>44</v>
      </c>
      <c r="C38" s="31" t="s">
        <v>129</v>
      </c>
      <c r="D38" s="61" t="s">
        <v>18</v>
      </c>
      <c r="E38" s="64"/>
      <c r="F38" s="57"/>
    </row>
    <row r="39" ht="18.0" customHeight="1">
      <c r="B39" s="32" t="s">
        <v>44</v>
      </c>
      <c r="C39" s="31" t="s">
        <v>47</v>
      </c>
      <c r="D39" s="61" t="s">
        <v>18</v>
      </c>
      <c r="E39" s="64"/>
      <c r="F39" s="57"/>
    </row>
    <row r="40" ht="18.0" customHeight="1">
      <c r="B40" s="32" t="s">
        <v>44</v>
      </c>
      <c r="C40" s="31" t="s">
        <v>130</v>
      </c>
      <c r="D40" s="61" t="s">
        <v>112</v>
      </c>
      <c r="E40" s="64"/>
      <c r="F40" s="57"/>
    </row>
    <row r="41" ht="15.75" customHeight="1">
      <c r="D41" s="63"/>
    </row>
    <row r="42" ht="15.75" customHeight="1">
      <c r="D42" s="63"/>
    </row>
    <row r="43" ht="30.0" customHeight="1">
      <c r="B43" s="67" t="s">
        <v>131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F2"/>
    <mergeCell ref="B5:F5"/>
    <mergeCell ref="B19:F19"/>
    <mergeCell ref="B28:F28"/>
    <mergeCell ref="B35:F35"/>
    <mergeCell ref="B43:F43"/>
  </mergeCells>
  <dataValidations>
    <dataValidation type="list" allowBlank="1" sqref="D6:D18 D20:D27 D29:D34 D36:D42">
      <formula1>"✅ Completado,⏳ En proceso,❌ No realizado,N/A"</formula1>
    </dataValidation>
  </dataValidation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2026-06-10T00:48:17Z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